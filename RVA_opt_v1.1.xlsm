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s\Excel_Projects\WFM\"/>
    </mc:Choice>
  </mc:AlternateContent>
  <bookViews>
    <workbookView xWindow="0" yWindow="0" windowWidth="14835" windowHeight="7380" activeTab="1"/>
  </bookViews>
  <sheets>
    <sheet name="Dashboard" sheetId="1" r:id="rId1"/>
    <sheet name="DumpFile" sheetId="3" r:id="rId2"/>
    <sheet name="Distro" sheetId="5" state="hidden" r:id="rId3"/>
    <sheet name="References" sheetId="4" state="hidden" r:id="rId4"/>
  </sheets>
  <definedNames>
    <definedName name="_xlnm._FilterDatabase" localSheetId="3" hidden="1">References!$A$1:$A$9</definedName>
    <definedName name="Clr_Open">Dashboard!$B$5:$B$28</definedName>
    <definedName name="Copy_Open_src">Dashboard!$B$5:$B$28</definedName>
    <definedName name="LOB_HOOP">References!$E$2:$E$91</definedName>
    <definedName name="LOB_ID">References!$G$2:$G$91</definedName>
    <definedName name="LOB_src">References!$F$2:$F$91</definedName>
    <definedName name="LOBs">OFFSET(References!$A$2,0,0,COUNTA(References!$A:$A),1)</definedName>
    <definedName name="MAPD_HOOP">DumpFile!$A$4:$A$21</definedName>
    <definedName name="MAPD_ID">DumpFile!$H$4:$H$21</definedName>
    <definedName name="MedPro_HOOP">DumpFile!$U$4:$U$27</definedName>
    <definedName name="MedPro_ID">DumpFile!$AB$4:$AB$27</definedName>
    <definedName name="Open_MAPD">DumpFile!$B$4:$B$21</definedName>
    <definedName name="Open_MedPro">DumpFile!$V$4:$V$27</definedName>
    <definedName name="Open_PMHS">DumpFile!$L$4:$L$27</definedName>
    <definedName name="Open_PWR">DumpFile!$AF$4:$AF$27</definedName>
    <definedName name="PMHS_HOOP">DumpFile!$K$4:$K$27</definedName>
    <definedName name="PMHS_ID">DumpFile!$R$4:$R$27</definedName>
    <definedName name="Pst_Open">Dashboard!$R$5:$R$28</definedName>
    <definedName name="PWR_HOOP">DumpFile!$AE$4:$AE$27</definedName>
    <definedName name="PWR_ID">DumpFile!$AL$4:$AL$27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2" i="1" l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M5" i="3"/>
  <c r="N5" i="3"/>
  <c r="O5" i="3"/>
  <c r="P5" i="3"/>
  <c r="Q5" i="3"/>
  <c r="M6" i="3"/>
  <c r="N6" i="3"/>
  <c r="O6" i="3"/>
  <c r="P6" i="3"/>
  <c r="Q6" i="3"/>
  <c r="M7" i="3"/>
  <c r="N7" i="3"/>
  <c r="O7" i="3"/>
  <c r="P7" i="3"/>
  <c r="Q7" i="3"/>
  <c r="M8" i="3"/>
  <c r="N8" i="3"/>
  <c r="O8" i="3"/>
  <c r="P8" i="3"/>
  <c r="Q8" i="3"/>
  <c r="M9" i="3"/>
  <c r="N9" i="3"/>
  <c r="O9" i="3"/>
  <c r="P9" i="3"/>
  <c r="Q9" i="3"/>
  <c r="M10" i="3"/>
  <c r="N10" i="3"/>
  <c r="O10" i="3"/>
  <c r="P10" i="3"/>
  <c r="Q10" i="3"/>
  <c r="M11" i="3"/>
  <c r="N11" i="3"/>
  <c r="O11" i="3"/>
  <c r="P11" i="3"/>
  <c r="Q11" i="3"/>
  <c r="M12" i="3"/>
  <c r="N12" i="3"/>
  <c r="O12" i="3"/>
  <c r="P12" i="3"/>
  <c r="Q12" i="3"/>
  <c r="M13" i="3"/>
  <c r="N13" i="3"/>
  <c r="O13" i="3"/>
  <c r="P13" i="3"/>
  <c r="Q13" i="3"/>
  <c r="M14" i="3"/>
  <c r="N14" i="3"/>
  <c r="O14" i="3"/>
  <c r="P14" i="3"/>
  <c r="Q14" i="3"/>
  <c r="M15" i="3"/>
  <c r="N15" i="3"/>
  <c r="O15" i="3"/>
  <c r="P15" i="3"/>
  <c r="Q15" i="3"/>
  <c r="M16" i="3"/>
  <c r="N16" i="3"/>
  <c r="O16" i="3"/>
  <c r="P16" i="3"/>
  <c r="Q16" i="3"/>
  <c r="M17" i="3"/>
  <c r="N17" i="3"/>
  <c r="O17" i="3"/>
  <c r="P17" i="3"/>
  <c r="Q17" i="3"/>
  <c r="M18" i="3"/>
  <c r="N18" i="3"/>
  <c r="O18" i="3"/>
  <c r="P18" i="3"/>
  <c r="Q18" i="3"/>
  <c r="M19" i="3"/>
  <c r="N19" i="3"/>
  <c r="O19" i="3"/>
  <c r="P19" i="3"/>
  <c r="Q19" i="3"/>
  <c r="M20" i="3"/>
  <c r="N20" i="3"/>
  <c r="O20" i="3"/>
  <c r="P20" i="3"/>
  <c r="Q20" i="3"/>
  <c r="M21" i="3"/>
  <c r="N21" i="3"/>
  <c r="O21" i="3"/>
  <c r="P21" i="3"/>
  <c r="Q21" i="3"/>
  <c r="M22" i="3"/>
  <c r="N22" i="3"/>
  <c r="O22" i="3"/>
  <c r="P22" i="3"/>
  <c r="Q22" i="3"/>
  <c r="M23" i="3"/>
  <c r="N23" i="3"/>
  <c r="O23" i="3"/>
  <c r="P23" i="3"/>
  <c r="Q23" i="3"/>
  <c r="M24" i="3"/>
  <c r="N24" i="3"/>
  <c r="O24" i="3"/>
  <c r="P24" i="3"/>
  <c r="Q24" i="3"/>
  <c r="M25" i="3"/>
  <c r="N25" i="3"/>
  <c r="O25" i="3"/>
  <c r="P25" i="3"/>
  <c r="Q25" i="3"/>
  <c r="M26" i="3"/>
  <c r="N26" i="3"/>
  <c r="O26" i="3"/>
  <c r="P26" i="3"/>
  <c r="Q26" i="3"/>
  <c r="M27" i="3"/>
  <c r="N27" i="3"/>
  <c r="O27" i="3"/>
  <c r="P27" i="3"/>
  <c r="Q27" i="3"/>
  <c r="N4" i="3"/>
  <c r="O4" i="3"/>
  <c r="P4" i="3"/>
  <c r="Q4" i="3"/>
  <c r="M4" i="3"/>
  <c r="D5" i="3"/>
  <c r="E5" i="3"/>
  <c r="F5" i="3"/>
  <c r="G5" i="3"/>
  <c r="C6" i="3"/>
  <c r="D6" i="3"/>
  <c r="E6" i="3"/>
  <c r="F6" i="3"/>
  <c r="G6" i="3"/>
  <c r="C7" i="3"/>
  <c r="D7" i="3"/>
  <c r="E7" i="3"/>
  <c r="F7" i="3"/>
  <c r="G7" i="3"/>
  <c r="C8" i="3"/>
  <c r="D8" i="3"/>
  <c r="E8" i="3"/>
  <c r="F8" i="3"/>
  <c r="G8" i="3"/>
  <c r="C9" i="3"/>
  <c r="D9" i="3"/>
  <c r="E9" i="3"/>
  <c r="F9" i="3"/>
  <c r="G9" i="3"/>
  <c r="C10" i="3"/>
  <c r="D10" i="3"/>
  <c r="E10" i="3"/>
  <c r="F10" i="3"/>
  <c r="G10" i="3"/>
  <c r="C11" i="3"/>
  <c r="D11" i="3"/>
  <c r="E11" i="3"/>
  <c r="F11" i="3"/>
  <c r="G11" i="3"/>
  <c r="C12" i="3"/>
  <c r="D12" i="3"/>
  <c r="E12" i="3"/>
  <c r="F12" i="3"/>
  <c r="G12" i="3"/>
  <c r="C13" i="3"/>
  <c r="D13" i="3"/>
  <c r="E13" i="3"/>
  <c r="F13" i="3"/>
  <c r="G13" i="3"/>
  <c r="C14" i="3"/>
  <c r="D14" i="3"/>
  <c r="E14" i="3"/>
  <c r="F14" i="3"/>
  <c r="G14" i="3"/>
  <c r="C15" i="3"/>
  <c r="D15" i="3"/>
  <c r="E15" i="3"/>
  <c r="F15" i="3"/>
  <c r="G15" i="3"/>
  <c r="C16" i="3"/>
  <c r="D16" i="3"/>
  <c r="E16" i="3"/>
  <c r="F16" i="3"/>
  <c r="G16" i="3"/>
  <c r="C17" i="3"/>
  <c r="D17" i="3"/>
  <c r="E17" i="3"/>
  <c r="F17" i="3"/>
  <c r="G17" i="3"/>
  <c r="C18" i="3"/>
  <c r="D18" i="3"/>
  <c r="E18" i="3"/>
  <c r="F18" i="3"/>
  <c r="G18" i="3"/>
  <c r="C19" i="3"/>
  <c r="D19" i="3"/>
  <c r="E19" i="3"/>
  <c r="F19" i="3"/>
  <c r="G19" i="3"/>
  <c r="C20" i="3"/>
  <c r="D20" i="3"/>
  <c r="E20" i="3"/>
  <c r="F20" i="3"/>
  <c r="G20" i="3"/>
  <c r="C21" i="3"/>
  <c r="D21" i="3"/>
  <c r="E21" i="3"/>
  <c r="F21" i="3"/>
  <c r="G21" i="3"/>
  <c r="D4" i="3"/>
  <c r="E4" i="3"/>
  <c r="F4" i="3"/>
  <c r="G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X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X4" i="3"/>
  <c r="Y4" i="3"/>
  <c r="Z4" i="3"/>
  <c r="AA4" i="3"/>
  <c r="W4" i="3"/>
  <c r="AG5" i="3"/>
  <c r="AH5" i="3"/>
  <c r="AI5" i="3"/>
  <c r="AJ5" i="3"/>
  <c r="AK5" i="3"/>
  <c r="AG6" i="3"/>
  <c r="AH6" i="3"/>
  <c r="AI6" i="3"/>
  <c r="AJ6" i="3"/>
  <c r="AK6" i="3"/>
  <c r="AG7" i="3"/>
  <c r="AH7" i="3"/>
  <c r="AI7" i="3"/>
  <c r="AJ7" i="3"/>
  <c r="AK7" i="3"/>
  <c r="AG8" i="3"/>
  <c r="AH8" i="3"/>
  <c r="AI8" i="3"/>
  <c r="AJ8" i="3"/>
  <c r="AK8" i="3"/>
  <c r="AG9" i="3"/>
  <c r="AH9" i="3"/>
  <c r="AI9" i="3"/>
  <c r="AJ9" i="3"/>
  <c r="AK9" i="3"/>
  <c r="AG10" i="3"/>
  <c r="AH10" i="3"/>
  <c r="AI10" i="3"/>
  <c r="AJ10" i="3"/>
  <c r="AK10" i="3"/>
  <c r="AG11" i="3"/>
  <c r="AH11" i="3"/>
  <c r="AI11" i="3"/>
  <c r="AJ11" i="3"/>
  <c r="AK11" i="3"/>
  <c r="AG12" i="3"/>
  <c r="AH12" i="3"/>
  <c r="AI12" i="3"/>
  <c r="AJ12" i="3"/>
  <c r="AK12" i="3"/>
  <c r="AG13" i="3"/>
  <c r="AH13" i="3"/>
  <c r="AI13" i="3"/>
  <c r="AJ13" i="3"/>
  <c r="AK13" i="3"/>
  <c r="AG14" i="3"/>
  <c r="AH14" i="3"/>
  <c r="AI14" i="3"/>
  <c r="AJ14" i="3"/>
  <c r="AK14" i="3"/>
  <c r="AG15" i="3"/>
  <c r="AH15" i="3"/>
  <c r="AI15" i="3"/>
  <c r="AJ15" i="3"/>
  <c r="AK15" i="3"/>
  <c r="AG16" i="3"/>
  <c r="AH16" i="3"/>
  <c r="AI16" i="3"/>
  <c r="AJ16" i="3"/>
  <c r="AK16" i="3"/>
  <c r="AG17" i="3"/>
  <c r="AH17" i="3"/>
  <c r="AI17" i="3"/>
  <c r="AJ17" i="3"/>
  <c r="AK17" i="3"/>
  <c r="AG18" i="3"/>
  <c r="AH18" i="3"/>
  <c r="AI18" i="3"/>
  <c r="AJ18" i="3"/>
  <c r="AK18" i="3"/>
  <c r="AG19" i="3"/>
  <c r="AH19" i="3"/>
  <c r="AI19" i="3"/>
  <c r="AJ19" i="3"/>
  <c r="AK19" i="3"/>
  <c r="AG20" i="3"/>
  <c r="AH20" i="3"/>
  <c r="AI20" i="3"/>
  <c r="AJ20" i="3"/>
  <c r="AK20" i="3"/>
  <c r="AG21" i="3"/>
  <c r="AH21" i="3"/>
  <c r="AI21" i="3"/>
  <c r="AJ21" i="3"/>
  <c r="AK21" i="3"/>
  <c r="AG22" i="3"/>
  <c r="AH22" i="3"/>
  <c r="AI22" i="3"/>
  <c r="AJ22" i="3"/>
  <c r="AK22" i="3"/>
  <c r="AG23" i="3"/>
  <c r="AH23" i="3"/>
  <c r="AI23" i="3"/>
  <c r="AJ23" i="3"/>
  <c r="AK23" i="3"/>
  <c r="AG24" i="3"/>
  <c r="AH24" i="3"/>
  <c r="AI24" i="3"/>
  <c r="AJ24" i="3"/>
  <c r="AK24" i="3"/>
  <c r="AG25" i="3"/>
  <c r="AH25" i="3"/>
  <c r="AI25" i="3"/>
  <c r="AJ25" i="3"/>
  <c r="AK25" i="3"/>
  <c r="AG26" i="3"/>
  <c r="AH26" i="3"/>
  <c r="AI26" i="3"/>
  <c r="AJ26" i="3"/>
  <c r="AK26" i="3"/>
  <c r="AG27" i="3"/>
  <c r="AH27" i="3"/>
  <c r="AI27" i="3"/>
  <c r="AJ27" i="3"/>
  <c r="AK27" i="3"/>
  <c r="AH4" i="3"/>
  <c r="AI4" i="3"/>
  <c r="AJ4" i="3"/>
  <c r="AK4" i="3"/>
  <c r="AG4" i="3"/>
  <c r="K2" i="1" l="1"/>
  <c r="S5" i="3" l="1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4" i="3"/>
  <c r="AM5" i="3"/>
  <c r="AM6" i="3"/>
  <c r="AM7" i="3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4" i="3"/>
  <c r="K9" i="1" l="1"/>
  <c r="I6" i="1"/>
  <c r="I7" i="1"/>
  <c r="I8" i="1"/>
  <c r="I9" i="1"/>
  <c r="I10" i="1"/>
  <c r="I11" i="1"/>
  <c r="I12" i="1"/>
  <c r="I13" i="1"/>
  <c r="I14" i="1"/>
  <c r="I15" i="1"/>
  <c r="I16" i="1"/>
  <c r="I17" i="1"/>
  <c r="J18" i="1"/>
  <c r="I19" i="1"/>
  <c r="I20" i="1"/>
  <c r="I21" i="1"/>
  <c r="I22" i="1"/>
  <c r="I23" i="1"/>
  <c r="J24" i="1"/>
  <c r="I25" i="1"/>
  <c r="I26" i="1"/>
  <c r="I27" i="1"/>
  <c r="J28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5" i="1"/>
  <c r="J5" i="1" l="1"/>
  <c r="K8" i="1"/>
  <c r="J21" i="1"/>
  <c r="J7" i="1"/>
  <c r="J8" i="1"/>
  <c r="J6" i="1"/>
  <c r="J10" i="1"/>
  <c r="J12" i="1"/>
  <c r="J11" i="1"/>
  <c r="J9" i="1"/>
  <c r="J14" i="1"/>
  <c r="J26" i="1"/>
  <c r="J16" i="1"/>
  <c r="J15" i="1"/>
  <c r="I18" i="1"/>
  <c r="J13" i="1"/>
  <c r="J20" i="1"/>
  <c r="J19" i="1"/>
  <c r="J17" i="1"/>
  <c r="I28" i="1"/>
  <c r="J25" i="1"/>
  <c r="I24" i="1"/>
  <c r="J27" i="1"/>
  <c r="J23" i="1"/>
  <c r="J22" i="1"/>
  <c r="I5" i="1"/>
  <c r="G70" i="4"/>
  <c r="G78" i="4"/>
  <c r="G22" i="4"/>
  <c r="G30" i="4"/>
  <c r="G38" i="4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5" i="1"/>
  <c r="AL5" i="3"/>
  <c r="G69" i="4" s="1"/>
  <c r="AL6" i="3"/>
  <c r="AL7" i="3"/>
  <c r="G71" i="4" s="1"/>
  <c r="AL8" i="3"/>
  <c r="G72" i="4" s="1"/>
  <c r="AL9" i="3"/>
  <c r="G73" i="4" s="1"/>
  <c r="AL10" i="3"/>
  <c r="G74" i="4" s="1"/>
  <c r="AL11" i="3"/>
  <c r="G75" i="4" s="1"/>
  <c r="AL12" i="3"/>
  <c r="G76" i="4" s="1"/>
  <c r="AL13" i="3"/>
  <c r="G77" i="4" s="1"/>
  <c r="AL14" i="3"/>
  <c r="AL15" i="3"/>
  <c r="G79" i="4" s="1"/>
  <c r="AL16" i="3"/>
  <c r="G80" i="4" s="1"/>
  <c r="AL17" i="3"/>
  <c r="G81" i="4" s="1"/>
  <c r="AL18" i="3"/>
  <c r="G82" i="4" s="1"/>
  <c r="AL19" i="3"/>
  <c r="G83" i="4" s="1"/>
  <c r="AL20" i="3"/>
  <c r="G84" i="4" s="1"/>
  <c r="AL21" i="3"/>
  <c r="G85" i="4" s="1"/>
  <c r="AL22" i="3"/>
  <c r="G86" i="4" s="1"/>
  <c r="AL23" i="3"/>
  <c r="G87" i="4" s="1"/>
  <c r="AL24" i="3"/>
  <c r="G88" i="4" s="1"/>
  <c r="AL25" i="3"/>
  <c r="G89" i="4" s="1"/>
  <c r="AL26" i="3"/>
  <c r="G90" i="4" s="1"/>
  <c r="AL27" i="3"/>
  <c r="G91" i="4" s="1"/>
  <c r="AL4" i="3"/>
  <c r="G68" i="4" s="1"/>
  <c r="AB5" i="3"/>
  <c r="G21" i="4" s="1"/>
  <c r="AB6" i="3"/>
  <c r="AB7" i="3"/>
  <c r="G23" i="4" s="1"/>
  <c r="AB8" i="3"/>
  <c r="G24" i="4" s="1"/>
  <c r="AB9" i="3"/>
  <c r="G25" i="4" s="1"/>
  <c r="AB10" i="3"/>
  <c r="G26" i="4" s="1"/>
  <c r="AB11" i="3"/>
  <c r="G27" i="4" s="1"/>
  <c r="AB12" i="3"/>
  <c r="G28" i="4" s="1"/>
  <c r="AB13" i="3"/>
  <c r="G29" i="4" s="1"/>
  <c r="AB14" i="3"/>
  <c r="AB15" i="3"/>
  <c r="G31" i="4" s="1"/>
  <c r="AB16" i="3"/>
  <c r="G32" i="4" s="1"/>
  <c r="AB17" i="3"/>
  <c r="G33" i="4" s="1"/>
  <c r="AB18" i="3"/>
  <c r="G34" i="4" s="1"/>
  <c r="AB19" i="3"/>
  <c r="G35" i="4" s="1"/>
  <c r="AB20" i="3"/>
  <c r="G36" i="4" s="1"/>
  <c r="AB21" i="3"/>
  <c r="G37" i="4" s="1"/>
  <c r="AB22" i="3"/>
  <c r="AB23" i="3"/>
  <c r="G39" i="4" s="1"/>
  <c r="AB24" i="3"/>
  <c r="G40" i="4" s="1"/>
  <c r="AB25" i="3"/>
  <c r="G41" i="4" s="1"/>
  <c r="AB26" i="3"/>
  <c r="G42" i="4" s="1"/>
  <c r="AB27" i="3"/>
  <c r="G43" i="4" s="1"/>
  <c r="AB4" i="3"/>
  <c r="G20" i="4" s="1"/>
  <c r="R5" i="3"/>
  <c r="G45" i="4" s="1"/>
  <c r="R6" i="3"/>
  <c r="G46" i="4" s="1"/>
  <c r="R7" i="3"/>
  <c r="G47" i="4" s="1"/>
  <c r="R8" i="3"/>
  <c r="G48" i="4" s="1"/>
  <c r="R9" i="3"/>
  <c r="G49" i="4" s="1"/>
  <c r="R10" i="3"/>
  <c r="G50" i="4" s="1"/>
  <c r="R11" i="3"/>
  <c r="G51" i="4" s="1"/>
  <c r="R12" i="3"/>
  <c r="G52" i="4" s="1"/>
  <c r="R13" i="3"/>
  <c r="G53" i="4" s="1"/>
  <c r="R14" i="3"/>
  <c r="G54" i="4" s="1"/>
  <c r="R15" i="3"/>
  <c r="G55" i="4" s="1"/>
  <c r="R16" i="3"/>
  <c r="G56" i="4" s="1"/>
  <c r="R17" i="3"/>
  <c r="G57" i="4" s="1"/>
  <c r="R18" i="3"/>
  <c r="G58" i="4" s="1"/>
  <c r="R19" i="3"/>
  <c r="G59" i="4" s="1"/>
  <c r="R20" i="3"/>
  <c r="G60" i="4" s="1"/>
  <c r="R21" i="3"/>
  <c r="G61" i="4" s="1"/>
  <c r="R22" i="3"/>
  <c r="G62" i="4" s="1"/>
  <c r="R23" i="3"/>
  <c r="G63" i="4" s="1"/>
  <c r="R24" i="3"/>
  <c r="G64" i="4" s="1"/>
  <c r="R25" i="3"/>
  <c r="G65" i="4" s="1"/>
  <c r="R26" i="3"/>
  <c r="G66" i="4" s="1"/>
  <c r="R27" i="3"/>
  <c r="G67" i="4" s="1"/>
  <c r="R4" i="3"/>
  <c r="G44" i="4" s="1"/>
  <c r="H4" i="3"/>
  <c r="G2" i="4" s="1"/>
  <c r="H5" i="3"/>
  <c r="G3" i="4" s="1"/>
  <c r="H6" i="3"/>
  <c r="G4" i="4" s="1"/>
  <c r="H7" i="3"/>
  <c r="G5" i="4" s="1"/>
  <c r="H8" i="3"/>
  <c r="G6" i="4" s="1"/>
  <c r="H9" i="3"/>
  <c r="G7" i="4" s="1"/>
  <c r="H10" i="3"/>
  <c r="G8" i="4" s="1"/>
  <c r="H11" i="3"/>
  <c r="G9" i="4" s="1"/>
  <c r="H12" i="3"/>
  <c r="G10" i="4" s="1"/>
  <c r="H13" i="3"/>
  <c r="G11" i="4" s="1"/>
  <c r="H14" i="3"/>
  <c r="G12" i="4" s="1"/>
  <c r="H15" i="3"/>
  <c r="G13" i="4" s="1"/>
  <c r="H16" i="3"/>
  <c r="G14" i="4" s="1"/>
  <c r="H17" i="3"/>
  <c r="G15" i="4" s="1"/>
  <c r="H18" i="3"/>
  <c r="G16" i="4" s="1"/>
  <c r="H19" i="3"/>
  <c r="G17" i="4" s="1"/>
  <c r="H20" i="3"/>
  <c r="G18" i="4" s="1"/>
  <c r="H21" i="3"/>
  <c r="G19" i="4" s="1"/>
  <c r="C2" i="4" l="1"/>
</calcChain>
</file>

<file path=xl/sharedStrings.xml><?xml version="1.0" encoding="utf-8"?>
<sst xmlns="http://schemas.openxmlformats.org/spreadsheetml/2006/main" count="159" uniqueCount="23">
  <si>
    <t>Current Requirements</t>
  </si>
  <si>
    <t>Time EST</t>
  </si>
  <si>
    <t>Mon</t>
  </si>
  <si>
    <t>Tue</t>
  </si>
  <si>
    <t>Wed</t>
  </si>
  <si>
    <t>Thu</t>
  </si>
  <si>
    <t>Fri</t>
  </si>
  <si>
    <t>MAPD</t>
  </si>
  <si>
    <t>PMHS</t>
  </si>
  <si>
    <t>MedPro</t>
  </si>
  <si>
    <t>PWR</t>
  </si>
  <si>
    <t>Open</t>
  </si>
  <si>
    <t>TC</t>
  </si>
  <si>
    <t>CHC</t>
  </si>
  <si>
    <t>Time</t>
  </si>
  <si>
    <t>LOB</t>
  </si>
  <si>
    <t>Date</t>
  </si>
  <si>
    <t>Req</t>
  </si>
  <si>
    <t>Buffers</t>
  </si>
  <si>
    <t>LA</t>
  </si>
  <si>
    <t>ID</t>
  </si>
  <si>
    <t>Day</t>
  </si>
  <si>
    <t>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</si>
</sst>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 d\,\ yyyy;@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 Light"/>
      <family val="2"/>
    </font>
    <font>
      <b/>
      <sz val="10"/>
      <color theme="1"/>
      <name val="Calibri Light"/>
      <family val="2"/>
    </font>
    <font>
      <b/>
      <sz val="10"/>
      <name val="Calibri Light"/>
      <family val="2"/>
    </font>
    <font>
      <b/>
      <sz val="10"/>
      <color theme="0"/>
      <name val="Calibri Light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7" tint="-0.499984740745262"/>
        <bgColor indexed="64"/>
      </patternFill>
    </fill>
  </fills>
  <borders count="9">
    <border>
      <left/>
      <right/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/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/>
    <xf numFmtId="2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 vertical="center"/>
    </xf>
    <xf numFmtId="20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20" fontId="1" fillId="0" borderId="3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20" fontId="1" fillId="7" borderId="4" xfId="0" applyNumberFormat="1" applyFont="1" applyFill="1" applyBorder="1" applyAlignment="1">
      <alignment horizontal="center"/>
    </xf>
    <xf numFmtId="0" fontId="5" fillId="8" borderId="4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3" fillId="2" borderId="6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20" fontId="1" fillId="0" borderId="2" xfId="0" applyNumberFormat="1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 vertical="center"/>
    </xf>
    <xf numFmtId="20" fontId="1" fillId="0" borderId="3" xfId="0" applyNumberFormat="1" applyFont="1" applyFill="1" applyBorder="1" applyAlignment="1">
      <alignment horizontal="center"/>
    </xf>
    <xf numFmtId="0" fontId="0" fillId="0" borderId="0" xfId="0" applyFill="1"/>
    <xf numFmtId="0" fontId="4" fillId="8" borderId="2" xfId="0" applyFont="1" applyFill="1" applyBorder="1" applyAlignment="1">
      <alignment horizontal="center" vertical="center"/>
    </xf>
    <xf numFmtId="20" fontId="1" fillId="0" borderId="1" xfId="0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7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20" fontId="1" fillId="0" borderId="0" xfId="0" applyNumberFormat="1" applyFont="1" applyBorder="1" applyAlignment="1">
      <alignment horizont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4" fontId="7" fillId="0" borderId="4" xfId="0" applyNumberFormat="1" applyFont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theme="3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</xdr:row>
          <xdr:rowOff>9525</xdr:rowOff>
        </xdr:from>
        <xdr:to>
          <xdr:col>4</xdr:col>
          <xdr:colOff>361950</xdr:colOff>
          <xdr:row>2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133350</xdr:colOff>
      <xdr:row>4</xdr:row>
      <xdr:rowOff>28575</xdr:rowOff>
    </xdr:from>
    <xdr:to>
      <xdr:col>4</xdr:col>
      <xdr:colOff>400050</xdr:colOff>
      <xdr:row>11</xdr:row>
      <xdr:rowOff>47625</xdr:rowOff>
    </xdr:to>
    <xdr:sp macro="" textlink="">
      <xdr:nvSpPr>
        <xdr:cNvPr id="2" name="TextBox 1"/>
        <xdr:cNvSpPr txBox="1"/>
      </xdr:nvSpPr>
      <xdr:spPr>
        <a:xfrm>
          <a:off x="1952625" y="790575"/>
          <a:ext cx="876300" cy="13525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If LOB</a:t>
          </a:r>
          <a:r>
            <a:rPr lang="en-US" sz="1100" baseline="0"/>
            <a:t> = n</a:t>
          </a:r>
        </a:p>
        <a:p>
          <a:r>
            <a:rPr lang="en-US" sz="1100" baseline="0"/>
            <a:t>open col val move to LOB DumpFile Tbl</a:t>
          </a:r>
          <a:endParaRPr lang="en-US" sz="1100"/>
        </a:p>
      </xdr:txBody>
    </xdr:sp>
    <xdr:clientData/>
  </xdr:twoCellAnchor>
  <xdr:twoCellAnchor>
    <xdr:from>
      <xdr:col>12</xdr:col>
      <xdr:colOff>485775</xdr:colOff>
      <xdr:row>0</xdr:row>
      <xdr:rowOff>142875</xdr:rowOff>
    </xdr:from>
    <xdr:to>
      <xdr:col>14</xdr:col>
      <xdr:colOff>142875</xdr:colOff>
      <xdr:row>7</xdr:row>
      <xdr:rowOff>161925</xdr:rowOff>
    </xdr:to>
    <xdr:sp macro="" textlink="">
      <xdr:nvSpPr>
        <xdr:cNvPr id="6" name="TextBox 5"/>
        <xdr:cNvSpPr txBox="1"/>
      </xdr:nvSpPr>
      <xdr:spPr>
        <a:xfrm>
          <a:off x="9525000" y="142875"/>
          <a:ext cx="876300" cy="13525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If LOB</a:t>
          </a:r>
          <a:r>
            <a:rPr lang="en-US" sz="1100" baseline="0"/>
            <a:t> =  n</a:t>
          </a:r>
        </a:p>
        <a:p>
          <a:r>
            <a:rPr lang="en-US" sz="1100" baseline="0"/>
            <a:t>pull Time, Open, Req from DumpFile LOB Tbl</a:t>
          </a:r>
          <a:endParaRPr lang="en-US" sz="1100"/>
        </a:p>
      </xdr:txBody>
    </xdr:sp>
    <xdr:clientData/>
  </xdr:twoCellAnchor>
  <xdr:twoCellAnchor>
    <xdr:from>
      <xdr:col>12</xdr:col>
      <xdr:colOff>533400</xdr:colOff>
      <xdr:row>8</xdr:row>
      <xdr:rowOff>180975</xdr:rowOff>
    </xdr:from>
    <xdr:to>
      <xdr:col>14</xdr:col>
      <xdr:colOff>190500</xdr:colOff>
      <xdr:row>16</xdr:row>
      <xdr:rowOff>9525</xdr:rowOff>
    </xdr:to>
    <xdr:sp macro="" textlink="">
      <xdr:nvSpPr>
        <xdr:cNvPr id="7" name="TextBox 6"/>
        <xdr:cNvSpPr txBox="1"/>
      </xdr:nvSpPr>
      <xdr:spPr>
        <a:xfrm>
          <a:off x="9572625" y="1704975"/>
          <a:ext cx="876300" cy="13525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If LOB</a:t>
          </a:r>
          <a:r>
            <a:rPr lang="en-US" sz="1100" baseline="0"/>
            <a:t> = n</a:t>
          </a:r>
        </a:p>
        <a:p>
          <a:r>
            <a:rPr lang="en-US" sz="1100" baseline="0"/>
            <a:t>open col val move to LOB DumpFile Tbl</a:t>
          </a:r>
          <a:endParaRPr lang="en-US" sz="1100"/>
        </a:p>
      </xdr:txBody>
    </xdr:sp>
    <xdr:clientData/>
  </xdr:twoCellAnchor>
  <xdr:twoCellAnchor>
    <xdr:from>
      <xdr:col>14</xdr:col>
      <xdr:colOff>390525</xdr:colOff>
      <xdr:row>9</xdr:row>
      <xdr:rowOff>47625</xdr:rowOff>
    </xdr:from>
    <xdr:to>
      <xdr:col>16</xdr:col>
      <xdr:colOff>47625</xdr:colOff>
      <xdr:row>16</xdr:row>
      <xdr:rowOff>66675</xdr:rowOff>
    </xdr:to>
    <xdr:sp macro="" textlink="">
      <xdr:nvSpPr>
        <xdr:cNvPr id="8" name="TextBox 7"/>
        <xdr:cNvSpPr txBox="1"/>
      </xdr:nvSpPr>
      <xdr:spPr>
        <a:xfrm>
          <a:off x="10648950" y="1762125"/>
          <a:ext cx="876300" cy="1352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LOB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n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Req val move to LOB DumpFile Tbl</a:t>
          </a:r>
          <a:endParaRPr lang="en-US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</xdr:row>
          <xdr:rowOff>19050</xdr:rowOff>
        </xdr:from>
        <xdr:to>
          <xdr:col>12</xdr:col>
          <xdr:colOff>361950</xdr:colOff>
          <xdr:row>2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238125</xdr:colOff>
      <xdr:row>0</xdr:row>
      <xdr:rowOff>133349</xdr:rowOff>
    </xdr:from>
    <xdr:to>
      <xdr:col>15</xdr:col>
      <xdr:colOff>504825</xdr:colOff>
      <xdr:row>8</xdr:row>
      <xdr:rowOff>85724</xdr:rowOff>
    </xdr:to>
    <xdr:sp macro="" textlink="">
      <xdr:nvSpPr>
        <xdr:cNvPr id="10" name="TextBox 9"/>
        <xdr:cNvSpPr txBox="1"/>
      </xdr:nvSpPr>
      <xdr:spPr>
        <a:xfrm>
          <a:off x="10496550" y="133349"/>
          <a:ext cx="876300" cy="1476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If Send</a:t>
          </a:r>
          <a:r>
            <a:rPr lang="en-US" sz="1100" baseline="0"/>
            <a:t> Btn = Press</a:t>
          </a:r>
        </a:p>
        <a:p>
          <a:endParaRPr lang="en-US" sz="1100" baseline="0"/>
        </a:p>
        <a:p>
          <a:r>
            <a:rPr lang="en-US" sz="1100" baseline="0"/>
            <a:t>Send via outlook selected LOB RVA</a:t>
          </a:r>
          <a:endParaRPr lang="en-US" sz="1100"/>
        </a:p>
      </xdr:txBody>
    </xdr:sp>
    <xdr:clientData/>
  </xdr:twoCellAnchor>
  <xdr:twoCellAnchor>
    <xdr:from>
      <xdr:col>3</xdr:col>
      <xdr:colOff>123825</xdr:colOff>
      <xdr:row>11</xdr:row>
      <xdr:rowOff>180975</xdr:rowOff>
    </xdr:from>
    <xdr:to>
      <xdr:col>4</xdr:col>
      <xdr:colOff>390525</xdr:colOff>
      <xdr:row>19</xdr:row>
      <xdr:rowOff>9525</xdr:rowOff>
    </xdr:to>
    <xdr:sp macro="" textlink="">
      <xdr:nvSpPr>
        <xdr:cNvPr id="9" name="TextBox 8"/>
        <xdr:cNvSpPr txBox="1"/>
      </xdr:nvSpPr>
      <xdr:spPr>
        <a:xfrm>
          <a:off x="3152775" y="2276475"/>
          <a:ext cx="876300" cy="13525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If LOB</a:t>
          </a:r>
          <a:r>
            <a:rPr lang="en-US" sz="1100" baseline="0"/>
            <a:t> = n, while Time and ID = 0 prompt error LOB not found.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3</xdr:row>
          <xdr:rowOff>161925</xdr:rowOff>
        </xdr:from>
        <xdr:to>
          <xdr:col>12</xdr:col>
          <xdr:colOff>342900</xdr:colOff>
          <xdr:row>5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R2754"/>
  <sheetViews>
    <sheetView topLeftCell="C1" workbookViewId="0">
      <selection activeCell="I18" sqref="I18"/>
    </sheetView>
  </sheetViews>
  <sheetFormatPr defaultRowHeight="15" x14ac:dyDescent="0.25"/>
  <cols>
    <col min="1" max="1" width="9.140625" style="9"/>
    <col min="2" max="3" width="18.140625" style="9" customWidth="1"/>
    <col min="6" max="10" width="10.7109375" style="9" customWidth="1"/>
  </cols>
  <sheetData>
    <row r="2" spans="1:18" x14ac:dyDescent="0.25">
      <c r="A2" s="31"/>
      <c r="B2" s="31"/>
      <c r="F2" s="28" t="s">
        <v>16</v>
      </c>
      <c r="G2" s="41">
        <v>44494</v>
      </c>
      <c r="H2" s="41"/>
      <c r="I2" s="41"/>
      <c r="J2" s="41"/>
      <c r="K2" s="9" t="str">
        <f>TEXT($G$2,"ddd")</f>
        <v>Mon</v>
      </c>
    </row>
    <row r="3" spans="1:18" x14ac:dyDescent="0.25">
      <c r="A3" s="14" t="s">
        <v>15</v>
      </c>
      <c r="B3" s="10" t="s">
        <v>10</v>
      </c>
      <c r="F3" s="28" t="s">
        <v>15</v>
      </c>
      <c r="G3" s="42" t="s">
        <v>7</v>
      </c>
      <c r="H3" s="42"/>
      <c r="I3" s="42"/>
      <c r="J3" s="42"/>
    </row>
    <row r="4" spans="1:18" x14ac:dyDescent="0.25">
      <c r="A4" s="14" t="s">
        <v>14</v>
      </c>
      <c r="B4" s="14" t="s">
        <v>11</v>
      </c>
      <c r="C4" s="14" t="s">
        <v>20</v>
      </c>
      <c r="F4" s="28" t="s">
        <v>14</v>
      </c>
      <c r="G4" s="28" t="s">
        <v>11</v>
      </c>
      <c r="H4" s="28" t="s">
        <v>17</v>
      </c>
      <c r="I4" s="28" t="s">
        <v>18</v>
      </c>
      <c r="J4" s="28" t="s">
        <v>19</v>
      </c>
    </row>
    <row r="5" spans="1:18" x14ac:dyDescent="0.25">
      <c r="A5" s="13">
        <f>IF($B$3="MedPro",DumpFile!$U4,IF($B$3="PMHS",DumpFile!$K4,IF($B$3="PWR",DumpFile!$AE4,IF($B$3="MAPD",DumpFile!$A4,IF($B$3&lt;&gt;"MedPro",IF($B$3&lt;&gt;"PMHS",IF($B$3&lt;&gt;"PWR",IF($B$3&lt;&gt;"MAPD",""))))))))</f>
        <v>0.29166666666666669</v>
      </c>
      <c r="B5" s="32"/>
      <c r="C5" s="12" t="str">
        <f>IF($B$3="MedPro",DumpFile!$AB4,IF($B$3="PMHS",DumpFile!$R4,IF($B$3="PWR",DumpFile!$AL4,IF($B$3="MAPD",DumpFile!$H4,IF($B$3&lt;&gt;"MedPro",IF($B$3&lt;&gt;"PMHS",IF($B$3&lt;&gt;"PWR",IF($B$3&lt;&gt;"MAPD",""))))))))</f>
        <v>PW68</v>
      </c>
      <c r="F5" s="36">
        <v>0.45833333333333331</v>
      </c>
      <c r="G5" s="33">
        <v>1</v>
      </c>
      <c r="H5" s="40">
        <v>0.1</v>
      </c>
      <c r="I5" s="29">
        <f>$G5-$H5</f>
        <v>0.9</v>
      </c>
      <c r="J5" s="9">
        <f>$G5/$H5</f>
        <v>10</v>
      </c>
      <c r="R5" s="33"/>
    </row>
    <row r="6" spans="1:18" x14ac:dyDescent="0.25">
      <c r="A6" s="13">
        <f>IF($B$3="MedPro",DumpFile!$U5,IF($B$3="PMHS",DumpFile!$K5,IF($B$3="PWR",DumpFile!$AE5,IF($B$3="MAPD",DumpFile!$A5,IF($B$3&lt;&gt;"MedPro",IF($B$3&lt;&gt;"PMHS",IF($B$3&lt;&gt;"PWR",IF($B$3&lt;&gt;"MAPD",""))))))))</f>
        <v>0.3125</v>
      </c>
      <c r="B6" s="32"/>
      <c r="C6" s="12" t="str">
        <f>IF($B$3="MedPro",DumpFile!$AB5,IF($B$3="PMHS",DumpFile!$R5,IF($B$3="PWR",DumpFile!$AL5,IF($B$3="MAPD",DumpFile!$H5,IF($B$3&lt;&gt;"MedPro",IF($B$3&lt;&gt;"PMHS",IF($B$3&lt;&gt;"PWR",IF($B$3&lt;&gt;"MAPD",""))))))))</f>
        <v>PW26</v>
      </c>
      <c r="F6" s="36">
        <v>0.47916666666666669</v>
      </c>
      <c r="G6" s="33">
        <v>2</v>
      </c>
      <c r="H6" s="40">
        <v>2</v>
      </c>
      <c r="I6" s="29">
        <f t="shared" ref="I6:I28" si="0">$G6-$H6</f>
        <v>0</v>
      </c>
      <c r="J6" s="9">
        <f t="shared" ref="J6:J28" si="1">$G6/$H6</f>
        <v>1</v>
      </c>
      <c r="R6" s="33"/>
    </row>
    <row r="7" spans="1:18" x14ac:dyDescent="0.25">
      <c r="A7" s="13">
        <f>IF($B$3="MedPro",DumpFile!$U6,IF($B$3="PMHS",DumpFile!$K6,IF($B$3="PWR",DumpFile!$AE6,IF($B$3="MAPD",DumpFile!$A6,IF($B$3&lt;&gt;"MedPro",IF($B$3&lt;&gt;"PMHS",IF($B$3&lt;&gt;"PWR",IF($B$3&lt;&gt;"MAPD",""))))))))</f>
        <v>0.33333333333333298</v>
      </c>
      <c r="B7" s="32"/>
      <c r="C7" s="12" t="str">
        <f>IF($B$3="MedPro",DumpFile!$AB6,IF($B$3="PMHS",DumpFile!$R6,IF($B$3="PWR",DumpFile!$AL6,IF($B$3="MAPD",DumpFile!$H6,IF($B$3&lt;&gt;"MedPro",IF($B$3&lt;&gt;"PMHS",IF($B$3&lt;&gt;"PWR",IF($B$3&lt;&gt;"MAPD",""))))))))</f>
        <v>PW34</v>
      </c>
      <c r="F7" s="36">
        <v>0.5</v>
      </c>
      <c r="G7" s="33">
        <v>3</v>
      </c>
      <c r="H7" s="40" t="str">
        <f t="shared" ref="H7:H22" si="2">H$3&amp;$A$1</f>
        <v/>
      </c>
      <c r="I7" s="29" t="e">
        <f t="shared" si="0"/>
        <v>#VALUE!</v>
      </c>
      <c r="J7" s="9" t="e">
        <f t="shared" si="1"/>
        <v>#VALUE!</v>
      </c>
      <c r="R7" s="33"/>
    </row>
    <row r="8" spans="1:18" x14ac:dyDescent="0.25">
      <c r="A8" s="13">
        <f>IF($B$3="MedPro",DumpFile!$U7,IF($B$3="PMHS",DumpFile!$K7,IF($B$3="PWR",DumpFile!$AE7,IF($B$3="MAPD",DumpFile!$A7,IF($B$3&lt;&gt;"MedPro",IF($B$3&lt;&gt;"PMHS",IF($B$3&lt;&gt;"PWR",IF($B$3&lt;&gt;"MAPD",""))))))))</f>
        <v>0.35416666666666702</v>
      </c>
      <c r="B8" s="32"/>
      <c r="C8" s="12" t="str">
        <f>IF($B$3="MedPro",DumpFile!$AB7,IF($B$3="PMHS",DumpFile!$R7,IF($B$3="PWR",DumpFile!$AL7,IF($B$3="MAPD",DumpFile!$H7,IF($B$3&lt;&gt;"MedPro",IF($B$3&lt;&gt;"PMHS",IF($B$3&lt;&gt;"PWR",IF($B$3&lt;&gt;"MAPD",""))))))))</f>
        <v>PW68</v>
      </c>
      <c r="F8" s="36">
        <v>0.52083333333333304</v>
      </c>
      <c r="G8" s="33">
        <v>4</v>
      </c>
      <c r="H8" s="40" t="str">
        <f t="shared" si="2"/>
        <v/>
      </c>
      <c r="I8" s="29" t="e">
        <f t="shared" si="0"/>
        <v>#VALUE!</v>
      </c>
      <c r="J8" s="9" t="e">
        <f t="shared" si="1"/>
        <v>#VALUE!</v>
      </c>
      <c r="K8" t="e">
        <f>INDEX(DumpFile!C4:G21,MATCH(Dashboard!G3,MAPD_LOB),MATCH(Dashboard!K2,DumpFile!C3:G3,0))</f>
        <v>#NAME?</v>
      </c>
      <c r="R8" s="33"/>
    </row>
    <row r="9" spans="1:18" x14ac:dyDescent="0.25">
      <c r="A9" s="13">
        <f>IF($B$3="MedPro",DumpFile!$U8,IF($B$3="PMHS",DumpFile!$K8,IF($B$3="PWR",DumpFile!$AE8,IF($B$3="MAPD",DumpFile!$A8,IF($B$3&lt;&gt;"MedPro",IF($B$3&lt;&gt;"PMHS",IF($B$3&lt;&gt;"PWR",IF($B$3&lt;&gt;"MAPD",""))))))))</f>
        <v>0.375</v>
      </c>
      <c r="B9" s="32"/>
      <c r="C9" s="12" t="str">
        <f>IF($B$3="MedPro",DumpFile!$AB8,IF($B$3="PMHS",DumpFile!$R8,IF($B$3="PWR",DumpFile!$AL8,IF($B$3="MAPD",DumpFile!$H8,IF($B$3&lt;&gt;"MedPro",IF($B$3&lt;&gt;"PMHS",IF($B$3&lt;&gt;"PWR",IF($B$3&lt;&gt;"MAPD",""))))))))</f>
        <v>PW76</v>
      </c>
      <c r="F9" s="36">
        <v>0.54166666666666696</v>
      </c>
      <c r="G9" s="33">
        <v>5</v>
      </c>
      <c r="H9" s="40" t="str">
        <f t="shared" si="2"/>
        <v/>
      </c>
      <c r="I9" s="29" t="e">
        <f t="shared" si="0"/>
        <v>#VALUE!</v>
      </c>
      <c r="J9" s="9" t="e">
        <f t="shared" si="1"/>
        <v>#VALUE!</v>
      </c>
      <c r="K9" t="e">
        <f>IF($G$3="MAPD",INDEX(DumpFile!C4:G21,MATCH(Dashboard!$G$3,MAPD_LOB,MATCH(Dashboard!$K$2,DumpFile!C3:G3,0))))</f>
        <v>#NAME?</v>
      </c>
      <c r="R9" s="33"/>
    </row>
    <row r="10" spans="1:18" x14ac:dyDescent="0.25">
      <c r="A10" s="13">
        <f>IF($B$3="MedPro",DumpFile!$U9,IF($B$3="PMHS",DumpFile!$K9,IF($B$3="PWR",DumpFile!$AE9,IF($B$3="MAPD",DumpFile!$A9,IF($B$3&lt;&gt;"MedPro",IF($B$3&lt;&gt;"PMHS",IF($B$3&lt;&gt;"PWR",IF($B$3&lt;&gt;"MAPD",""))))))))</f>
        <v>0.39583333333333398</v>
      </c>
      <c r="B10" s="32"/>
      <c r="C10" s="12" t="str">
        <f>IF($B$3="MedPro",DumpFile!$AB9,IF($B$3="PMHS",DumpFile!$R9,IF($B$3="PWR",DumpFile!$AL9,IF($B$3="MAPD",DumpFile!$H9,IF($B$3&lt;&gt;"MedPro",IF($B$3&lt;&gt;"PMHS",IF($B$3&lt;&gt;"PWR",IF($B$3&lt;&gt;"MAPD",""))))))))</f>
        <v>PW35</v>
      </c>
      <c r="F10" s="36">
        <v>0.5625</v>
      </c>
      <c r="G10" s="33">
        <v>6</v>
      </c>
      <c r="H10" s="40" t="str">
        <f t="shared" si="2"/>
        <v/>
      </c>
      <c r="I10" s="29" t="e">
        <f t="shared" si="0"/>
        <v>#VALUE!</v>
      </c>
      <c r="J10" s="9" t="e">
        <f t="shared" si="1"/>
        <v>#VALUE!</v>
      </c>
      <c r="R10" s="33"/>
    </row>
    <row r="11" spans="1:18" x14ac:dyDescent="0.25">
      <c r="A11" s="13">
        <f>IF($B$3="MedPro",DumpFile!$U10,IF($B$3="PMHS",DumpFile!$K10,IF($B$3="PWR",DumpFile!$AE10,IF($B$3="MAPD",DumpFile!$A10,IF($B$3&lt;&gt;"MedPro",IF($B$3&lt;&gt;"PMHS",IF($B$3&lt;&gt;"PWR",IF($B$3&lt;&gt;"MAPD",""))))))))</f>
        <v>0.41666666666666702</v>
      </c>
      <c r="B11" s="32"/>
      <c r="C11" s="12" t="str">
        <f>IF($B$3="MedPro",DumpFile!$AB10,IF($B$3="PMHS",DumpFile!$R10,IF($B$3="PWR",DumpFile!$AL10,IF($B$3="MAPD",DumpFile!$H10,IF($B$3&lt;&gt;"MedPro",IF($B$3&lt;&gt;"PMHS",IF($B$3&lt;&gt;"PWR",IF($B$3&lt;&gt;"MAPD",""))))))))</f>
        <v>PW68</v>
      </c>
      <c r="F11" s="36">
        <v>0.58333333333333304</v>
      </c>
      <c r="G11" s="33">
        <v>7</v>
      </c>
      <c r="H11" s="40" t="str">
        <f t="shared" si="2"/>
        <v/>
      </c>
      <c r="I11" s="29" t="e">
        <f t="shared" si="0"/>
        <v>#VALUE!</v>
      </c>
      <c r="J11" s="9" t="e">
        <f t="shared" si="1"/>
        <v>#VALUE!</v>
      </c>
      <c r="R11" s="33"/>
    </row>
    <row r="12" spans="1:18" x14ac:dyDescent="0.25">
      <c r="A12" s="13">
        <f>IF($B$3="MedPro",DumpFile!$U11,IF($B$3="PMHS",DumpFile!$K11,IF($B$3="PWR",DumpFile!$AE11,IF($B$3="MAPD",DumpFile!$A11,IF($B$3&lt;&gt;"MedPro",IF($B$3&lt;&gt;"PMHS",IF($B$3&lt;&gt;"PWR",IF($B$3&lt;&gt;"MAPD",""))))))))</f>
        <v>0.4375</v>
      </c>
      <c r="B12" s="32"/>
      <c r="C12" s="12" t="str">
        <f>IF($B$3="MedPro",DumpFile!$AB11,IF($B$3="PMHS",DumpFile!$R11,IF($B$3="PWR",DumpFile!$AL11,IF($B$3="MAPD",DumpFile!$H11,IF($B$3&lt;&gt;"MedPro",IF($B$3&lt;&gt;"PMHS",IF($B$3&lt;&gt;"PWR",IF($B$3&lt;&gt;"MAPD",""))))))))</f>
        <v>PW76</v>
      </c>
      <c r="F12" s="36">
        <v>0.60416666666666696</v>
      </c>
      <c r="G12" s="33">
        <v>8</v>
      </c>
      <c r="H12" s="40" t="str">
        <f t="shared" si="2"/>
        <v/>
      </c>
      <c r="I12" s="29" t="e">
        <f t="shared" si="0"/>
        <v>#VALUE!</v>
      </c>
      <c r="J12" s="9" t="e">
        <f t="shared" si="1"/>
        <v>#VALUE!</v>
      </c>
      <c r="R12" s="33"/>
    </row>
    <row r="13" spans="1:18" x14ac:dyDescent="0.25">
      <c r="A13" s="13">
        <f>IF($B$3="MedPro",DumpFile!$U12,IF($B$3="PMHS",DumpFile!$K12,IF($B$3="PWR",DumpFile!$AE12,IF($B$3="MAPD",DumpFile!$A12,IF($B$3&lt;&gt;"MedPro",IF($B$3&lt;&gt;"PMHS",IF($B$3&lt;&gt;"PWR",IF($B$3&lt;&gt;"MAPD",""))))))))</f>
        <v>0.45833333333333398</v>
      </c>
      <c r="B13" s="32"/>
      <c r="C13" s="12" t="str">
        <f>IF($B$3="MedPro",DumpFile!$AB12,IF($B$3="PMHS",DumpFile!$R12,IF($B$3="PWR",DumpFile!$AL12,IF($B$3="MAPD",DumpFile!$H12,IF($B$3&lt;&gt;"MedPro",IF($B$3&lt;&gt;"PMHS",IF($B$3&lt;&gt;"PWR",IF($B$3&lt;&gt;"MAPD",""))))))))</f>
        <v>PW35</v>
      </c>
      <c r="F13" s="36">
        <v>0.625</v>
      </c>
      <c r="G13" s="33">
        <v>9</v>
      </c>
      <c r="H13" s="40" t="str">
        <f t="shared" si="2"/>
        <v/>
      </c>
      <c r="I13" s="29" t="e">
        <f t="shared" si="0"/>
        <v>#VALUE!</v>
      </c>
      <c r="J13" s="9" t="e">
        <f t="shared" si="1"/>
        <v>#VALUE!</v>
      </c>
      <c r="R13" s="33"/>
    </row>
    <row r="14" spans="1:18" x14ac:dyDescent="0.25">
      <c r="A14" s="13">
        <f>IF($B$3="MedPro",DumpFile!$U13,IF($B$3="PMHS",DumpFile!$K13,IF($B$3="PWR",DumpFile!$AE13,IF($B$3="MAPD",DumpFile!$A13,IF($B$3&lt;&gt;"MedPro",IF($B$3&lt;&gt;"PMHS",IF($B$3&lt;&gt;"PWR",IF($B$3&lt;&gt;"MAPD",""))))))))</f>
        <v>0.47916666666666702</v>
      </c>
      <c r="B14" s="32"/>
      <c r="C14" s="12" t="str">
        <f>IF($B$3="MedPro",DumpFile!$AB13,IF($B$3="PMHS",DumpFile!$R13,IF($B$3="PWR",DumpFile!$AL13,IF($B$3="MAPD",DumpFile!$H13,IF($B$3&lt;&gt;"MedPro",IF($B$3&lt;&gt;"PMHS",IF($B$3&lt;&gt;"PWR",IF($B$3&lt;&gt;"MAPD",""))))))))</f>
        <v>PW68</v>
      </c>
      <c r="F14" s="36">
        <v>0.64583333333333304</v>
      </c>
      <c r="G14" s="33">
        <v>10</v>
      </c>
      <c r="H14" s="40" t="str">
        <f t="shared" si="2"/>
        <v/>
      </c>
      <c r="I14" s="29" t="e">
        <f t="shared" si="0"/>
        <v>#VALUE!</v>
      </c>
      <c r="J14" s="9" t="e">
        <f t="shared" si="1"/>
        <v>#VALUE!</v>
      </c>
      <c r="R14" s="33"/>
    </row>
    <row r="15" spans="1:18" x14ac:dyDescent="0.25">
      <c r="A15" s="13">
        <f>IF($B$3="MedPro",DumpFile!$U14,IF($B$3="PMHS",DumpFile!$K14,IF($B$3="PWR",DumpFile!$AE14,IF($B$3="MAPD",DumpFile!$A14,IF($B$3&lt;&gt;"MedPro",IF($B$3&lt;&gt;"PMHS",IF($B$3&lt;&gt;"PWR",IF($B$3&lt;&gt;"MAPD",""))))))))</f>
        <v>0.5</v>
      </c>
      <c r="B15" s="32"/>
      <c r="C15" s="12" t="str">
        <f>IF($B$3="MedPro",DumpFile!$AB14,IF($B$3="PMHS",DumpFile!$R14,IF($B$3="PWR",DumpFile!$AL14,IF($B$3="MAPD",DumpFile!$H14,IF($B$3&lt;&gt;"MedPro",IF($B$3&lt;&gt;"PMHS",IF($B$3&lt;&gt;"PWR",IF($B$3&lt;&gt;"MAPD",""))))))))</f>
        <v>PW1.5</v>
      </c>
      <c r="F15" s="36">
        <v>0.66666666666666696</v>
      </c>
      <c r="G15" s="33">
        <v>11</v>
      </c>
      <c r="H15" s="40" t="str">
        <f t="shared" si="2"/>
        <v/>
      </c>
      <c r="I15" s="29" t="e">
        <f t="shared" si="0"/>
        <v>#VALUE!</v>
      </c>
      <c r="J15" s="9" t="e">
        <f t="shared" si="1"/>
        <v>#VALUE!</v>
      </c>
      <c r="R15" s="33"/>
    </row>
    <row r="16" spans="1:18" x14ac:dyDescent="0.25">
      <c r="A16" s="13">
        <f>IF($B$3="MedPro",DumpFile!$U15,IF($B$3="PMHS",DumpFile!$K15,IF($B$3="PWR",DumpFile!$AE15,IF($B$3="MAPD",DumpFile!$A15,IF($B$3&lt;&gt;"MedPro",IF($B$3&lt;&gt;"PMHS",IF($B$3&lt;&gt;"PWR",IF($B$3&lt;&gt;"MAPD",""))))))))</f>
        <v>0.52083333333333304</v>
      </c>
      <c r="B16" s="32"/>
      <c r="C16" s="12" t="str">
        <f>IF($B$3="MedPro",DumpFile!$AB15,IF($B$3="PMHS",DumpFile!$R15,IF($B$3="PWR",DumpFile!$AL15,IF($B$3="MAPD",DumpFile!$H15,IF($B$3&lt;&gt;"MedPro",IF($B$3&lt;&gt;"PMHS",IF($B$3&lt;&gt;"PWR",IF($B$3&lt;&gt;"MAPD",""))))))))</f>
        <v>PW34</v>
      </c>
      <c r="F16" s="36">
        <v>0.6875</v>
      </c>
      <c r="G16" s="33">
        <v>12</v>
      </c>
      <c r="H16" s="40" t="str">
        <f t="shared" si="2"/>
        <v/>
      </c>
      <c r="I16" s="29" t="e">
        <f t="shared" si="0"/>
        <v>#VALUE!</v>
      </c>
      <c r="J16" s="9" t="e">
        <f t="shared" si="1"/>
        <v>#VALUE!</v>
      </c>
      <c r="R16" s="33"/>
    </row>
    <row r="17" spans="1:18" x14ac:dyDescent="0.25">
      <c r="A17" s="13">
        <f>IF($B$3="MedPro",DumpFile!$U16,IF($B$3="PMHS",DumpFile!$K16,IF($B$3="PWR",DumpFile!$AE16,IF($B$3="MAPD",DumpFile!$A16,IF($B$3&lt;&gt;"MedPro",IF($B$3&lt;&gt;"PMHS",IF($B$3&lt;&gt;"PWR",IF($B$3&lt;&gt;"MAPD",""))))))))</f>
        <v>0.54166666666666696</v>
      </c>
      <c r="B17" s="32"/>
      <c r="C17" s="12" t="str">
        <f>IF($B$3="MedPro",DumpFile!$AB16,IF($B$3="PMHS",DumpFile!$R16,IF($B$3="PWR",DumpFile!$AL16,IF($B$3="MAPD",DumpFile!$H16,IF($B$3&lt;&gt;"MedPro",IF($B$3&lt;&gt;"PMHS",IF($B$3&lt;&gt;"PWR",IF($B$3&lt;&gt;"MAPD",""))))))))</f>
        <v>PW68</v>
      </c>
      <c r="F17" s="36">
        <v>0.70833333333333304</v>
      </c>
      <c r="G17" s="33">
        <v>13</v>
      </c>
      <c r="H17" s="40" t="str">
        <f t="shared" si="2"/>
        <v/>
      </c>
      <c r="I17" s="29" t="e">
        <f t="shared" si="0"/>
        <v>#VALUE!</v>
      </c>
      <c r="J17" s="9" t="e">
        <f t="shared" si="1"/>
        <v>#VALUE!</v>
      </c>
      <c r="R17" s="33"/>
    </row>
    <row r="18" spans="1:18" x14ac:dyDescent="0.25">
      <c r="A18" s="13">
        <f>IF($B$3="MedPro",DumpFile!$U17,IF($B$3="PMHS",DumpFile!$K17,IF($B$3="PWR",DumpFile!$AE17,IF($B$3="MAPD",DumpFile!$A17,IF($B$3&lt;&gt;"MedPro",IF($B$3&lt;&gt;"PMHS",IF($B$3&lt;&gt;"PWR",IF($B$3&lt;&gt;"MAPD",""))))))))</f>
        <v>0.5625</v>
      </c>
      <c r="B18" s="32"/>
      <c r="C18" s="12" t="str">
        <f>IF($B$3="MedPro",DumpFile!$AB17,IF($B$3="PMHS",DumpFile!$R17,IF($B$3="PWR",DumpFile!$AL17,IF($B$3="MAPD",DumpFile!$H17,IF($B$3&lt;&gt;"MedPro",IF($B$3&lt;&gt;"PMHS",IF($B$3&lt;&gt;"PWR",IF($B$3&lt;&gt;"MAPD",""))))))))</f>
        <v>PW26</v>
      </c>
      <c r="F18" s="36">
        <v>0.72916666666666696</v>
      </c>
      <c r="G18" s="33">
        <v>14</v>
      </c>
      <c r="H18" s="40" t="str">
        <f t="shared" si="2"/>
        <v/>
      </c>
      <c r="I18" s="29" t="e">
        <f t="shared" si="0"/>
        <v>#VALUE!</v>
      </c>
      <c r="J18" s="9" t="e">
        <f t="shared" si="1"/>
        <v>#VALUE!</v>
      </c>
      <c r="R18" s="33"/>
    </row>
    <row r="19" spans="1:18" x14ac:dyDescent="0.25">
      <c r="A19" s="13">
        <f>IF($B$3="MedPro",DumpFile!$U18,IF($B$3="PMHS",DumpFile!$K18,IF($B$3="PWR",DumpFile!$AE18,IF($B$3="MAPD",DumpFile!$A18,IF($B$3&lt;&gt;"MedPro",IF($B$3&lt;&gt;"PMHS",IF($B$3&lt;&gt;"PWR",IF($B$3&lt;&gt;"MAPD",""))))))))</f>
        <v>0.58333333333333304</v>
      </c>
      <c r="B19" s="32"/>
      <c r="C19" s="12" t="str">
        <f>IF($B$3="MedPro",DumpFile!$AB18,IF($B$3="PMHS",DumpFile!$R18,IF($B$3="PWR",DumpFile!$AL18,IF($B$3="MAPD",DumpFile!$H18,IF($B$3&lt;&gt;"MedPro",IF($B$3&lt;&gt;"PMHS",IF($B$3&lt;&gt;"PWR",IF($B$3&lt;&gt;"MAPD",""))))))))</f>
        <v>PW34</v>
      </c>
      <c r="F19" s="36">
        <v>0.75</v>
      </c>
      <c r="G19" s="33">
        <v>15</v>
      </c>
      <c r="H19" s="40" t="str">
        <f t="shared" si="2"/>
        <v/>
      </c>
      <c r="I19" s="29" t="e">
        <f t="shared" si="0"/>
        <v>#VALUE!</v>
      </c>
      <c r="J19" s="9" t="e">
        <f t="shared" si="1"/>
        <v>#VALUE!</v>
      </c>
      <c r="R19" s="33"/>
    </row>
    <row r="20" spans="1:18" x14ac:dyDescent="0.25">
      <c r="A20" s="13">
        <f>IF($B$3="MedPro",DumpFile!$U19,IF($B$3="PMHS",DumpFile!$K19,IF($B$3="PWR",DumpFile!$AE19,IF($B$3="MAPD",DumpFile!$A19,IF($B$3&lt;&gt;"MedPro",IF($B$3&lt;&gt;"PMHS",IF($B$3&lt;&gt;"PWR",IF($B$3&lt;&gt;"MAPD",""))))))))</f>
        <v>0.60416666666666696</v>
      </c>
      <c r="B20" s="32"/>
      <c r="C20" s="12" t="str">
        <f>IF($B$3="MedPro",DumpFile!$AB19,IF($B$3="PMHS",DumpFile!$R19,IF($B$3="PWR",DumpFile!$AL19,IF($B$3="MAPD",DumpFile!$H19,IF($B$3&lt;&gt;"MedPro",IF($B$3&lt;&gt;"PMHS",IF($B$3&lt;&gt;"PWR",IF($B$3&lt;&gt;"MAPD",""))))))))</f>
        <v>PW68</v>
      </c>
      <c r="F20" s="36">
        <v>0.77083333333333404</v>
      </c>
      <c r="G20" s="33">
        <v>16</v>
      </c>
      <c r="H20" s="40" t="str">
        <f t="shared" si="2"/>
        <v/>
      </c>
      <c r="I20" s="29" t="e">
        <f t="shared" si="0"/>
        <v>#VALUE!</v>
      </c>
      <c r="J20" s="9" t="e">
        <f t="shared" si="1"/>
        <v>#VALUE!</v>
      </c>
      <c r="M20" t="s">
        <v>22</v>
      </c>
      <c r="R20" s="33"/>
    </row>
    <row r="21" spans="1:18" x14ac:dyDescent="0.25">
      <c r="A21" s="13">
        <f>IF($B$3="MedPro",DumpFile!$U20,IF($B$3="PMHS",DumpFile!$K20,IF($B$3="PWR",DumpFile!$AE20,IF($B$3="MAPD",DumpFile!$A20,IF($B$3&lt;&gt;"MedPro",IF($B$3&lt;&gt;"PMHS",IF($B$3&lt;&gt;"PWR",IF($B$3&lt;&gt;"MAPD",""))))))))</f>
        <v>0.625</v>
      </c>
      <c r="B21" s="32"/>
      <c r="C21" s="12" t="str">
        <f>IF($B$3="MedPro",DumpFile!$AB20,IF($B$3="PMHS",DumpFile!$R20,IF($B$3="PWR",DumpFile!$AL20,IF($B$3="MAPD",DumpFile!$H20,IF($B$3&lt;&gt;"MedPro",IF($B$3&lt;&gt;"PMHS",IF($B$3&lt;&gt;"PWR",IF($B$3&lt;&gt;"MAPD",""))))))))</f>
        <v>PW26</v>
      </c>
      <c r="F21" s="36">
        <v>0.79166666666666696</v>
      </c>
      <c r="G21" s="33">
        <v>17</v>
      </c>
      <c r="H21" s="40" t="str">
        <f t="shared" si="2"/>
        <v/>
      </c>
      <c r="I21" s="29" t="e">
        <f t="shared" si="0"/>
        <v>#VALUE!</v>
      </c>
      <c r="J21" s="9" t="e">
        <f t="shared" si="1"/>
        <v>#VALUE!</v>
      </c>
      <c r="R21" s="33"/>
    </row>
    <row r="22" spans="1:18" x14ac:dyDescent="0.25">
      <c r="A22" s="13">
        <f>IF($B$3="MedPro",DumpFile!$U21,IF($B$3="PMHS",DumpFile!$K21,IF($B$3="PWR",DumpFile!$AE21,IF($B$3="MAPD",DumpFile!$A21,IF($B$3&lt;&gt;"MedPro",IF($B$3&lt;&gt;"PMHS",IF($B$3&lt;&gt;"PWR",IF($B$3&lt;&gt;"MAPD",""))))))))</f>
        <v>0.64583333333333304</v>
      </c>
      <c r="B22" s="32"/>
      <c r="C22" s="12" t="str">
        <f>IF($B$3="MedPro",DumpFile!$AB21,IF($B$3="PMHS",DumpFile!$R21,IF($B$3="PWR",DumpFile!$AL21,IF($B$3="MAPD",DumpFile!$H21,IF($B$3&lt;&gt;"MedPro",IF($B$3&lt;&gt;"PMHS",IF($B$3&lt;&gt;"PWR",IF($B$3&lt;&gt;"MAPD",""))))))))</f>
        <v>PW34</v>
      </c>
      <c r="F22" s="36">
        <v>0.8125</v>
      </c>
      <c r="G22" s="33">
        <v>18</v>
      </c>
      <c r="H22" s="40" t="str">
        <f t="shared" si="2"/>
        <v/>
      </c>
      <c r="I22" s="29" t="e">
        <f t="shared" si="0"/>
        <v>#VALUE!</v>
      </c>
      <c r="J22" s="9" t="e">
        <f t="shared" si="1"/>
        <v>#VALUE!</v>
      </c>
      <c r="R22" s="33"/>
    </row>
    <row r="23" spans="1:18" x14ac:dyDescent="0.25">
      <c r="A23" s="13">
        <f>IF($B$3="MedPro",DumpFile!$U22,IF($B$3="PMHS",DumpFile!$K22,IF($B$3="PWR",DumpFile!$AE22,IF($B$3="MAPD",DumpFile!$A22,IF($B$3&lt;&gt;"MedPro",IF($B$3&lt;&gt;"PMHS",IF($B$3&lt;&gt;"PWR",IF($B$3&lt;&gt;"MAPD",""))))))))</f>
        <v>0.66666666666666696</v>
      </c>
      <c r="B23" s="32"/>
      <c r="C23" s="12" t="str">
        <f>IF($B$3="MedPro",DumpFile!$AB22,IF($B$3="PMHS",DumpFile!$R22,IF($B$3="PWR",DumpFile!$AL22,IF($B$3="MAPD",DumpFile!$H22,IF($B$3&lt;&gt;"MedPro",IF($B$3&lt;&gt;"PMHS",IF($B$3&lt;&gt;"PWR",IF($B$3&lt;&gt;"MAPD",""))))))))</f>
        <v>PW68</v>
      </c>
      <c r="F23" s="36"/>
      <c r="G23" s="33"/>
      <c r="H23" s="37"/>
      <c r="I23" s="29">
        <f t="shared" si="0"/>
        <v>0</v>
      </c>
      <c r="J23" s="9" t="e">
        <f t="shared" si="1"/>
        <v>#DIV/0!</v>
      </c>
      <c r="R23" s="33"/>
    </row>
    <row r="24" spans="1:18" x14ac:dyDescent="0.25">
      <c r="A24" s="13">
        <f>IF($B$3="MedPro",DumpFile!$U23,IF($B$3="PMHS",DumpFile!$K23,IF($B$3="PWR",DumpFile!$AE23,IF($B$3="MAPD",DumpFile!$A23,IF($B$3&lt;&gt;"MedPro",IF($B$3&lt;&gt;"PMHS",IF($B$3&lt;&gt;"PWR",IF($B$3&lt;&gt;"MAPD",""))))))))</f>
        <v>0.6875</v>
      </c>
      <c r="B24" s="32"/>
      <c r="C24" s="12" t="str">
        <f>IF($B$3="MedPro",DumpFile!$AB23,IF($B$3="PMHS",DumpFile!$R23,IF($B$3="PWR",DumpFile!$AL23,IF($B$3="MAPD",DumpFile!$H23,IF($B$3&lt;&gt;"MedPro",IF($B$3&lt;&gt;"PMHS",IF($B$3&lt;&gt;"PWR",IF($B$3&lt;&gt;"MAPD",""))))))))</f>
        <v>PW76</v>
      </c>
      <c r="F24" s="38"/>
      <c r="G24" s="33"/>
      <c r="H24" s="37"/>
      <c r="I24" s="29">
        <f t="shared" si="0"/>
        <v>0</v>
      </c>
      <c r="J24" s="9" t="e">
        <f t="shared" si="1"/>
        <v>#DIV/0!</v>
      </c>
      <c r="R24" s="33"/>
    </row>
    <row r="25" spans="1:18" x14ac:dyDescent="0.25">
      <c r="A25" s="13">
        <f>IF($B$3="MedPro",DumpFile!$U24,IF($B$3="PMHS",DumpFile!$K24,IF($B$3="PWR",DumpFile!$AE24,IF($B$3="MAPD",DumpFile!$A24,IF($B$3&lt;&gt;"MedPro",IF($B$3&lt;&gt;"PMHS",IF($B$3&lt;&gt;"PWR",IF($B$3&lt;&gt;"MAPD",""))))))))</f>
        <v>0.70833333333333304</v>
      </c>
      <c r="B25" s="32"/>
      <c r="C25" s="12" t="str">
        <f>IF($B$3="MedPro",DumpFile!$AB24,IF($B$3="PMHS",DumpFile!$R24,IF($B$3="PWR",DumpFile!$AL24,IF($B$3="MAPD",DumpFile!$H24,IF($B$3&lt;&gt;"MedPro",IF($B$3&lt;&gt;"PMHS",IF($B$3&lt;&gt;"PWR",IF($B$3&lt;&gt;"MAPD",""))))))))</f>
        <v>PW34</v>
      </c>
      <c r="F25" s="38"/>
      <c r="G25" s="33"/>
      <c r="H25" s="37"/>
      <c r="I25" s="29">
        <f t="shared" si="0"/>
        <v>0</v>
      </c>
      <c r="J25" s="9" t="e">
        <f t="shared" si="1"/>
        <v>#DIV/0!</v>
      </c>
      <c r="R25" s="33"/>
    </row>
    <row r="26" spans="1:18" x14ac:dyDescent="0.25">
      <c r="A26" s="13">
        <f>IF($B$3="MedPro",DumpFile!$U25,IF($B$3="PMHS",DumpFile!$K25,IF($B$3="PWR",DumpFile!$AE25,IF($B$3="MAPD",DumpFile!$A25,IF($B$3&lt;&gt;"MedPro",IF($B$3&lt;&gt;"PMHS",IF($B$3&lt;&gt;"PWR",IF($B$3&lt;&gt;"MAPD",""))))))))</f>
        <v>0.72916666666666696</v>
      </c>
      <c r="B26" s="32"/>
      <c r="C26" s="12" t="str">
        <f>IF($B$3="MedPro",DumpFile!$AB25,IF($B$3="PMHS",DumpFile!$R25,IF($B$3="PWR",DumpFile!$AL25,IF($B$3="MAPD",DumpFile!$H25,IF($B$3&lt;&gt;"MedPro",IF($B$3&lt;&gt;"PMHS",IF($B$3&lt;&gt;"PWR",IF($B$3&lt;&gt;"MAPD",""))))))))</f>
        <v>PW68</v>
      </c>
      <c r="F26" s="38"/>
      <c r="G26" s="33"/>
      <c r="H26" s="37"/>
      <c r="I26" s="29">
        <f t="shared" si="0"/>
        <v>0</v>
      </c>
      <c r="J26" s="9" t="e">
        <f t="shared" si="1"/>
        <v>#DIV/0!</v>
      </c>
      <c r="R26" s="33"/>
    </row>
    <row r="27" spans="1:18" x14ac:dyDescent="0.25">
      <c r="A27" s="13">
        <f>IF($B$3="MedPro",DumpFile!$U26,IF($B$3="PMHS",DumpFile!$K26,IF($B$3="PWR",DumpFile!$AE26,IF($B$3="MAPD",DumpFile!$A26,IF($B$3&lt;&gt;"MedPro",IF($B$3&lt;&gt;"PMHS",IF($B$3&lt;&gt;"PWR",IF($B$3&lt;&gt;"MAPD",""))))))))</f>
        <v>0.75</v>
      </c>
      <c r="B27" s="32"/>
      <c r="C27" s="12" t="str">
        <f>IF($B$3="MedPro",DumpFile!$AB26,IF($B$3="PMHS",DumpFile!$R26,IF($B$3="PWR",DumpFile!$AL26,IF($B$3="MAPD",DumpFile!$H26,IF($B$3&lt;&gt;"MedPro",IF($B$3&lt;&gt;"PMHS",IF($B$3&lt;&gt;"PWR",IF($B$3&lt;&gt;"MAPD",""))))))))</f>
        <v>PW76</v>
      </c>
      <c r="F27" s="38"/>
      <c r="G27" s="33"/>
      <c r="H27" s="37"/>
      <c r="I27" s="29">
        <f t="shared" si="0"/>
        <v>0</v>
      </c>
      <c r="J27" s="9" t="e">
        <f t="shared" si="1"/>
        <v>#DIV/0!</v>
      </c>
      <c r="R27" s="33"/>
    </row>
    <row r="28" spans="1:18" x14ac:dyDescent="0.25">
      <c r="A28" s="13">
        <f>IF($B$3="MedPro",DumpFile!$U27,IF($B$3="PMHS",DumpFile!$K27,IF($B$3="PWR",DumpFile!$AE27,IF($B$3="MAPD",DumpFile!$A27,IF($B$3&lt;&gt;"MedPro",IF($B$3&lt;&gt;"PMHS",IF($B$3&lt;&gt;"PWR",IF($B$3&lt;&gt;"MAPD",""))))))))</f>
        <v>0.77083333333333304</v>
      </c>
      <c r="B28" s="32"/>
      <c r="C28" s="12" t="str">
        <f>IF($B$3="MedPro",DumpFile!$AB27,IF($B$3="PMHS",DumpFile!$R27,IF($B$3="PWR",DumpFile!$AL27,IF($B$3="MAPD",DumpFile!$H27,IF($B$3&lt;&gt;"MedPro",IF($B$3&lt;&gt;"PMHS",IF($B$3&lt;&gt;"PWR",IF($B$3&lt;&gt;"MAPD",""))))))))</f>
        <v>PW34</v>
      </c>
      <c r="F28" s="38"/>
      <c r="G28" s="33"/>
      <c r="H28" s="37"/>
      <c r="I28" s="29">
        <f t="shared" si="0"/>
        <v>0</v>
      </c>
      <c r="J28" s="9" t="e">
        <f t="shared" si="1"/>
        <v>#DIV/0!</v>
      </c>
      <c r="R28" s="33"/>
    </row>
    <row r="29" spans="1:18" x14ac:dyDescent="0.25">
      <c r="F29" s="3"/>
      <c r="H29" s="1"/>
      <c r="I29" s="29"/>
    </row>
    <row r="30" spans="1:18" x14ac:dyDescent="0.25">
      <c r="E30" s="9"/>
      <c r="F30" s="3"/>
      <c r="H30" s="1"/>
    </row>
    <row r="31" spans="1:18" x14ac:dyDescent="0.25">
      <c r="F31" s="38"/>
      <c r="G31" s="39"/>
      <c r="H31" s="37"/>
    </row>
    <row r="32" spans="1:18" x14ac:dyDescent="0.25">
      <c r="F32" s="38"/>
      <c r="G32" s="39"/>
      <c r="H32" s="37"/>
    </row>
    <row r="33" spans="6:8" x14ac:dyDescent="0.25">
      <c r="F33" s="38"/>
      <c r="G33" s="39"/>
      <c r="H33" s="37"/>
    </row>
    <row r="34" spans="6:8" x14ac:dyDescent="0.25">
      <c r="F34" s="38"/>
      <c r="G34" s="39"/>
      <c r="H34" s="37"/>
    </row>
    <row r="35" spans="6:8" x14ac:dyDescent="0.25">
      <c r="F35" s="38"/>
      <c r="G35" s="39"/>
      <c r="H35" s="37"/>
    </row>
    <row r="36" spans="6:8" x14ac:dyDescent="0.25">
      <c r="F36" s="38"/>
      <c r="G36" s="39"/>
      <c r="H36" s="37"/>
    </row>
    <row r="37" spans="6:8" x14ac:dyDescent="0.25">
      <c r="F37" s="38"/>
      <c r="G37" s="39"/>
      <c r="H37" s="37"/>
    </row>
    <row r="38" spans="6:8" x14ac:dyDescent="0.25">
      <c r="F38" s="38"/>
      <c r="G38" s="39"/>
      <c r="H38" s="37"/>
    </row>
    <row r="39" spans="6:8" x14ac:dyDescent="0.25">
      <c r="F39" s="38"/>
      <c r="G39" s="39"/>
      <c r="H39" s="37"/>
    </row>
    <row r="40" spans="6:8" x14ac:dyDescent="0.25">
      <c r="F40" s="38"/>
      <c r="G40" s="39"/>
      <c r="H40" s="37"/>
    </row>
    <row r="41" spans="6:8" x14ac:dyDescent="0.25">
      <c r="F41" s="38"/>
      <c r="G41" s="39"/>
      <c r="H41" s="37"/>
    </row>
    <row r="42" spans="6:8" x14ac:dyDescent="0.25">
      <c r="F42" s="38"/>
      <c r="G42" s="39"/>
      <c r="H42" s="37"/>
    </row>
    <row r="43" spans="6:8" x14ac:dyDescent="0.25">
      <c r="F43" s="38"/>
      <c r="G43" s="39"/>
      <c r="H43" s="37"/>
    </row>
    <row r="44" spans="6:8" x14ac:dyDescent="0.25">
      <c r="F44" s="38"/>
      <c r="G44" s="39"/>
      <c r="H44" s="37"/>
    </row>
    <row r="45" spans="6:8" x14ac:dyDescent="0.25">
      <c r="F45" s="38"/>
      <c r="G45" s="39"/>
      <c r="H45" s="37"/>
    </row>
    <row r="46" spans="6:8" x14ac:dyDescent="0.25">
      <c r="F46" s="38"/>
      <c r="G46" s="39"/>
      <c r="H46" s="37"/>
    </row>
    <row r="47" spans="6:8" x14ac:dyDescent="0.25">
      <c r="F47" s="38"/>
      <c r="G47" s="39"/>
      <c r="H47" s="37"/>
    </row>
    <row r="48" spans="6:8" x14ac:dyDescent="0.25">
      <c r="F48" s="38"/>
      <c r="G48" s="39"/>
      <c r="H48" s="37"/>
    </row>
    <row r="49" spans="6:8" x14ac:dyDescent="0.25">
      <c r="F49" s="38"/>
      <c r="G49" s="39"/>
      <c r="H49" s="37"/>
    </row>
    <row r="50" spans="6:8" x14ac:dyDescent="0.25">
      <c r="F50" s="38"/>
      <c r="G50" s="39"/>
      <c r="H50" s="37"/>
    </row>
    <row r="51" spans="6:8" x14ac:dyDescent="0.25">
      <c r="F51" s="38"/>
      <c r="G51" s="39"/>
      <c r="H51" s="37"/>
    </row>
    <row r="52" spans="6:8" x14ac:dyDescent="0.25">
      <c r="F52" s="38"/>
      <c r="G52" s="39"/>
      <c r="H52" s="37"/>
    </row>
    <row r="53" spans="6:8" x14ac:dyDescent="0.25">
      <c r="F53" s="38"/>
      <c r="G53" s="39"/>
      <c r="H53" s="37"/>
    </row>
    <row r="54" spans="6:8" x14ac:dyDescent="0.25">
      <c r="F54" s="38"/>
      <c r="G54" s="39"/>
      <c r="H54" s="37"/>
    </row>
    <row r="55" spans="6:8" x14ac:dyDescent="0.25">
      <c r="F55" s="3"/>
      <c r="H55" s="1"/>
    </row>
    <row r="56" spans="6:8" x14ac:dyDescent="0.25">
      <c r="F56" s="3"/>
      <c r="H56" s="1"/>
    </row>
    <row r="57" spans="6:8" x14ac:dyDescent="0.25">
      <c r="F57" s="3"/>
      <c r="H57" s="1"/>
    </row>
    <row r="58" spans="6:8" x14ac:dyDescent="0.25">
      <c r="F58" s="3"/>
      <c r="H58" s="1"/>
    </row>
    <row r="59" spans="6:8" x14ac:dyDescent="0.25">
      <c r="F59" s="3"/>
      <c r="H59" s="1"/>
    </row>
    <row r="60" spans="6:8" x14ac:dyDescent="0.25">
      <c r="F60" s="3"/>
      <c r="H60" s="1"/>
    </row>
    <row r="61" spans="6:8" x14ac:dyDescent="0.25">
      <c r="F61" s="3"/>
      <c r="H61" s="1"/>
    </row>
    <row r="62" spans="6:8" x14ac:dyDescent="0.25">
      <c r="F62" s="3"/>
      <c r="H62" s="1"/>
    </row>
    <row r="63" spans="6:8" x14ac:dyDescent="0.25">
      <c r="F63" s="3"/>
      <c r="H63" s="1"/>
    </row>
    <row r="64" spans="6:8" x14ac:dyDescent="0.25">
      <c r="F64" s="3"/>
      <c r="H64" s="1"/>
    </row>
    <row r="65" spans="6:8" x14ac:dyDescent="0.25">
      <c r="F65" s="3"/>
      <c r="H65" s="1"/>
    </row>
    <row r="66" spans="6:8" x14ac:dyDescent="0.25">
      <c r="F66" s="3"/>
      <c r="H66" s="1"/>
    </row>
    <row r="67" spans="6:8" x14ac:dyDescent="0.25">
      <c r="F67" s="3"/>
      <c r="H67" s="1"/>
    </row>
    <row r="68" spans="6:8" x14ac:dyDescent="0.25">
      <c r="F68" s="3"/>
      <c r="H68" s="1"/>
    </row>
    <row r="69" spans="6:8" x14ac:dyDescent="0.25">
      <c r="F69" s="3"/>
      <c r="H69" s="1"/>
    </row>
    <row r="70" spans="6:8" x14ac:dyDescent="0.25">
      <c r="F70" s="3"/>
      <c r="H70" s="1"/>
    </row>
    <row r="71" spans="6:8" x14ac:dyDescent="0.25">
      <c r="F71" s="3"/>
      <c r="H71" s="1"/>
    </row>
    <row r="72" spans="6:8" x14ac:dyDescent="0.25">
      <c r="F72" s="3"/>
      <c r="H72" s="1"/>
    </row>
    <row r="73" spans="6:8" x14ac:dyDescent="0.25">
      <c r="F73" s="3"/>
      <c r="H73" s="1"/>
    </row>
    <row r="74" spans="6:8" x14ac:dyDescent="0.25">
      <c r="F74" s="3"/>
      <c r="H74" s="1"/>
    </row>
    <row r="75" spans="6:8" x14ac:dyDescent="0.25">
      <c r="F75" s="3"/>
      <c r="H75" s="1"/>
    </row>
    <row r="76" spans="6:8" x14ac:dyDescent="0.25">
      <c r="F76" s="3"/>
      <c r="H76" s="1"/>
    </row>
    <row r="77" spans="6:8" x14ac:dyDescent="0.25">
      <c r="F77" s="3"/>
      <c r="H77" s="1"/>
    </row>
    <row r="78" spans="6:8" x14ac:dyDescent="0.25">
      <c r="F78" s="3"/>
      <c r="H78" s="1"/>
    </row>
    <row r="79" spans="6:8" x14ac:dyDescent="0.25">
      <c r="F79" s="3"/>
      <c r="H79" s="1"/>
    </row>
    <row r="80" spans="6:8" x14ac:dyDescent="0.25">
      <c r="F80" s="3"/>
      <c r="H80" s="1"/>
    </row>
    <row r="81" spans="6:8" x14ac:dyDescent="0.25">
      <c r="F81" s="3"/>
      <c r="H81" s="1"/>
    </row>
    <row r="82" spans="6:8" x14ac:dyDescent="0.25">
      <c r="F82" s="3"/>
      <c r="H82" s="1"/>
    </row>
    <row r="83" spans="6:8" x14ac:dyDescent="0.25">
      <c r="F83" s="3"/>
      <c r="H83" s="1"/>
    </row>
    <row r="84" spans="6:8" x14ac:dyDescent="0.25">
      <c r="F84" s="3"/>
      <c r="H84" s="1"/>
    </row>
    <row r="85" spans="6:8" x14ac:dyDescent="0.25">
      <c r="F85" s="3"/>
      <c r="H85" s="1"/>
    </row>
    <row r="86" spans="6:8" x14ac:dyDescent="0.25">
      <c r="F86" s="3"/>
      <c r="H86" s="1"/>
    </row>
    <row r="87" spans="6:8" x14ac:dyDescent="0.25">
      <c r="F87" s="3"/>
      <c r="H87" s="1"/>
    </row>
    <row r="88" spans="6:8" x14ac:dyDescent="0.25">
      <c r="F88" s="3"/>
      <c r="H88" s="1"/>
    </row>
    <row r="89" spans="6:8" x14ac:dyDescent="0.25">
      <c r="F89" s="3"/>
      <c r="H89" s="1"/>
    </row>
    <row r="90" spans="6:8" x14ac:dyDescent="0.25">
      <c r="F90" s="3"/>
      <c r="H90" s="1"/>
    </row>
    <row r="91" spans="6:8" x14ac:dyDescent="0.25">
      <c r="F91" s="3"/>
      <c r="H91" s="1"/>
    </row>
    <row r="92" spans="6:8" x14ac:dyDescent="0.25">
      <c r="F92" s="3"/>
      <c r="H92" s="1"/>
    </row>
    <row r="93" spans="6:8" x14ac:dyDescent="0.25">
      <c r="F93" s="3"/>
      <c r="H93" s="1"/>
    </row>
    <row r="94" spans="6:8" x14ac:dyDescent="0.25">
      <c r="F94" s="3"/>
      <c r="H94" s="1"/>
    </row>
    <row r="95" spans="6:8" x14ac:dyDescent="0.25">
      <c r="F95" s="3"/>
      <c r="H95" s="1"/>
    </row>
    <row r="96" spans="6:8" x14ac:dyDescent="0.25">
      <c r="F96" s="3"/>
      <c r="H96" s="1"/>
    </row>
    <row r="97" spans="6:8" x14ac:dyDescent="0.25">
      <c r="F97" s="3"/>
      <c r="H97" s="1"/>
    </row>
    <row r="98" spans="6:8" x14ac:dyDescent="0.25">
      <c r="F98" s="3"/>
      <c r="H98" s="1"/>
    </row>
    <row r="99" spans="6:8" x14ac:dyDescent="0.25">
      <c r="F99" s="3"/>
      <c r="H99" s="1"/>
    </row>
    <row r="100" spans="6:8" x14ac:dyDescent="0.25">
      <c r="F100" s="3"/>
      <c r="H100" s="1"/>
    </row>
    <row r="101" spans="6:8" x14ac:dyDescent="0.25">
      <c r="F101" s="3"/>
      <c r="H101" s="1"/>
    </row>
    <row r="102" spans="6:8" x14ac:dyDescent="0.25">
      <c r="F102" s="3"/>
      <c r="H102" s="1"/>
    </row>
    <row r="103" spans="6:8" x14ac:dyDescent="0.25">
      <c r="F103" s="3"/>
      <c r="H103" s="1"/>
    </row>
    <row r="104" spans="6:8" x14ac:dyDescent="0.25">
      <c r="F104" s="3"/>
      <c r="H104" s="1"/>
    </row>
    <row r="105" spans="6:8" x14ac:dyDescent="0.25">
      <c r="F105" s="3"/>
      <c r="H105" s="1"/>
    </row>
    <row r="106" spans="6:8" x14ac:dyDescent="0.25">
      <c r="F106" s="3"/>
      <c r="H106" s="1"/>
    </row>
    <row r="107" spans="6:8" x14ac:dyDescent="0.25">
      <c r="F107" s="3"/>
      <c r="H107" s="1"/>
    </row>
    <row r="108" spans="6:8" x14ac:dyDescent="0.25">
      <c r="F108" s="3"/>
      <c r="H108" s="1"/>
    </row>
    <row r="109" spans="6:8" x14ac:dyDescent="0.25">
      <c r="F109" s="3"/>
      <c r="H109" s="1"/>
    </row>
    <row r="110" spans="6:8" x14ac:dyDescent="0.25">
      <c r="F110" s="3"/>
      <c r="H110" s="1"/>
    </row>
    <row r="111" spans="6:8" x14ac:dyDescent="0.25">
      <c r="F111" s="3"/>
      <c r="H111" s="1"/>
    </row>
    <row r="112" spans="6:8" x14ac:dyDescent="0.25">
      <c r="F112" s="3"/>
      <c r="H112" s="1"/>
    </row>
    <row r="113" spans="6:8" x14ac:dyDescent="0.25">
      <c r="F113" s="3"/>
      <c r="H113" s="1"/>
    </row>
    <row r="114" spans="6:8" x14ac:dyDescent="0.25">
      <c r="F114" s="3"/>
      <c r="H114" s="1"/>
    </row>
    <row r="115" spans="6:8" x14ac:dyDescent="0.25">
      <c r="F115" s="3"/>
      <c r="H115" s="1"/>
    </row>
    <row r="116" spans="6:8" x14ac:dyDescent="0.25">
      <c r="F116" s="3"/>
      <c r="H116" s="1"/>
    </row>
    <row r="117" spans="6:8" x14ac:dyDescent="0.25">
      <c r="F117" s="3"/>
      <c r="H117" s="1"/>
    </row>
    <row r="118" spans="6:8" x14ac:dyDescent="0.25">
      <c r="F118" s="3"/>
      <c r="H118" s="1"/>
    </row>
    <row r="119" spans="6:8" x14ac:dyDescent="0.25">
      <c r="F119" s="3"/>
      <c r="H119" s="1"/>
    </row>
    <row r="120" spans="6:8" x14ac:dyDescent="0.25">
      <c r="F120" s="3"/>
      <c r="H120" s="1"/>
    </row>
    <row r="121" spans="6:8" x14ac:dyDescent="0.25">
      <c r="F121" s="3"/>
      <c r="H121" s="1"/>
    </row>
    <row r="122" spans="6:8" x14ac:dyDescent="0.25">
      <c r="F122" s="3"/>
      <c r="H122" s="1"/>
    </row>
    <row r="123" spans="6:8" x14ac:dyDescent="0.25">
      <c r="F123" s="3"/>
      <c r="H123" s="1"/>
    </row>
    <row r="124" spans="6:8" x14ac:dyDescent="0.25">
      <c r="F124" s="3"/>
      <c r="H124" s="1"/>
    </row>
    <row r="125" spans="6:8" x14ac:dyDescent="0.25">
      <c r="F125" s="3"/>
      <c r="H125" s="1"/>
    </row>
    <row r="126" spans="6:8" x14ac:dyDescent="0.25">
      <c r="F126" s="3"/>
      <c r="H126" s="1"/>
    </row>
    <row r="127" spans="6:8" x14ac:dyDescent="0.25">
      <c r="F127" s="3"/>
      <c r="H127" s="1"/>
    </row>
    <row r="128" spans="6:8" x14ac:dyDescent="0.25">
      <c r="F128" s="3"/>
      <c r="H128" s="1"/>
    </row>
    <row r="129" spans="6:8" x14ac:dyDescent="0.25">
      <c r="F129" s="3"/>
      <c r="H129" s="1"/>
    </row>
    <row r="130" spans="6:8" x14ac:dyDescent="0.25">
      <c r="F130" s="3"/>
      <c r="H130" s="1"/>
    </row>
    <row r="131" spans="6:8" x14ac:dyDescent="0.25">
      <c r="F131" s="3"/>
      <c r="H131" s="1"/>
    </row>
    <row r="132" spans="6:8" x14ac:dyDescent="0.25">
      <c r="F132" s="3"/>
      <c r="H132" s="1"/>
    </row>
    <row r="133" spans="6:8" x14ac:dyDescent="0.25">
      <c r="F133" s="3"/>
      <c r="H133" s="1"/>
    </row>
    <row r="134" spans="6:8" x14ac:dyDescent="0.25">
      <c r="F134" s="3"/>
      <c r="H134" s="1"/>
    </row>
    <row r="135" spans="6:8" x14ac:dyDescent="0.25">
      <c r="F135" s="3"/>
      <c r="H135" s="1"/>
    </row>
    <row r="136" spans="6:8" x14ac:dyDescent="0.25">
      <c r="F136" s="3"/>
      <c r="H136" s="1"/>
    </row>
    <row r="137" spans="6:8" x14ac:dyDescent="0.25">
      <c r="F137" s="3"/>
      <c r="H137" s="1"/>
    </row>
    <row r="138" spans="6:8" x14ac:dyDescent="0.25">
      <c r="F138" s="3"/>
      <c r="H138" s="1"/>
    </row>
    <row r="139" spans="6:8" x14ac:dyDescent="0.25">
      <c r="F139" s="3"/>
      <c r="H139" s="1"/>
    </row>
    <row r="140" spans="6:8" x14ac:dyDescent="0.25">
      <c r="F140" s="3"/>
      <c r="H140" s="1"/>
    </row>
    <row r="141" spans="6:8" x14ac:dyDescent="0.25">
      <c r="F141" s="3"/>
      <c r="H141" s="1"/>
    </row>
    <row r="142" spans="6:8" x14ac:dyDescent="0.25">
      <c r="F142" s="3"/>
      <c r="H142" s="1"/>
    </row>
    <row r="143" spans="6:8" x14ac:dyDescent="0.25">
      <c r="F143" s="3"/>
      <c r="H143" s="1"/>
    </row>
    <row r="144" spans="6:8" x14ac:dyDescent="0.25">
      <c r="F144" s="3"/>
      <c r="H144" s="1"/>
    </row>
    <row r="145" spans="6:8" x14ac:dyDescent="0.25">
      <c r="F145" s="3"/>
      <c r="H145" s="1"/>
    </row>
    <row r="146" spans="6:8" x14ac:dyDescent="0.25">
      <c r="F146" s="3"/>
      <c r="H146" s="1"/>
    </row>
    <row r="147" spans="6:8" x14ac:dyDescent="0.25">
      <c r="F147" s="3"/>
      <c r="H147" s="1"/>
    </row>
    <row r="148" spans="6:8" x14ac:dyDescent="0.25">
      <c r="F148" s="3"/>
      <c r="H148" s="1"/>
    </row>
    <row r="149" spans="6:8" x14ac:dyDescent="0.25">
      <c r="F149" s="3"/>
      <c r="H149" s="1"/>
    </row>
    <row r="150" spans="6:8" x14ac:dyDescent="0.25">
      <c r="F150" s="3"/>
      <c r="H150" s="1"/>
    </row>
    <row r="151" spans="6:8" x14ac:dyDescent="0.25">
      <c r="F151" s="3"/>
      <c r="H151" s="1"/>
    </row>
    <row r="152" spans="6:8" x14ac:dyDescent="0.25">
      <c r="F152" s="3"/>
      <c r="H152" s="1"/>
    </row>
    <row r="153" spans="6:8" x14ac:dyDescent="0.25">
      <c r="F153" s="3"/>
      <c r="H153" s="1"/>
    </row>
    <row r="154" spans="6:8" x14ac:dyDescent="0.25">
      <c r="F154" s="3"/>
      <c r="H154" s="1"/>
    </row>
    <row r="155" spans="6:8" x14ac:dyDescent="0.25">
      <c r="F155" s="3"/>
      <c r="H155" s="1"/>
    </row>
    <row r="156" spans="6:8" x14ac:dyDescent="0.25">
      <c r="F156" s="3"/>
      <c r="H156" s="1"/>
    </row>
    <row r="157" spans="6:8" x14ac:dyDescent="0.25">
      <c r="F157" s="3"/>
      <c r="H157" s="1"/>
    </row>
    <row r="158" spans="6:8" x14ac:dyDescent="0.25">
      <c r="F158" s="3"/>
      <c r="H158" s="1"/>
    </row>
    <row r="159" spans="6:8" x14ac:dyDescent="0.25">
      <c r="F159" s="3"/>
      <c r="H159" s="1"/>
    </row>
    <row r="160" spans="6:8" x14ac:dyDescent="0.25">
      <c r="F160" s="3"/>
      <c r="H160" s="1"/>
    </row>
    <row r="161" spans="6:8" x14ac:dyDescent="0.25">
      <c r="F161" s="3"/>
      <c r="H161" s="1"/>
    </row>
    <row r="162" spans="6:8" x14ac:dyDescent="0.25">
      <c r="F162" s="3"/>
      <c r="H162" s="1"/>
    </row>
    <row r="163" spans="6:8" x14ac:dyDescent="0.25">
      <c r="F163" s="3"/>
      <c r="H163" s="1"/>
    </row>
    <row r="164" spans="6:8" x14ac:dyDescent="0.25">
      <c r="F164" s="3"/>
      <c r="H164" s="1"/>
    </row>
    <row r="165" spans="6:8" x14ac:dyDescent="0.25">
      <c r="F165" s="3"/>
      <c r="H165" s="1"/>
    </row>
    <row r="166" spans="6:8" x14ac:dyDescent="0.25">
      <c r="F166" s="3"/>
      <c r="H166" s="1"/>
    </row>
    <row r="167" spans="6:8" x14ac:dyDescent="0.25">
      <c r="F167" s="3"/>
      <c r="H167" s="1"/>
    </row>
    <row r="168" spans="6:8" x14ac:dyDescent="0.25">
      <c r="F168" s="3"/>
      <c r="H168" s="1"/>
    </row>
    <row r="169" spans="6:8" x14ac:dyDescent="0.25">
      <c r="F169" s="3"/>
      <c r="H169" s="1"/>
    </row>
    <row r="170" spans="6:8" x14ac:dyDescent="0.25">
      <c r="F170" s="3"/>
      <c r="H170" s="1"/>
    </row>
    <row r="171" spans="6:8" x14ac:dyDescent="0.25">
      <c r="F171" s="3"/>
      <c r="H171" s="1"/>
    </row>
    <row r="172" spans="6:8" x14ac:dyDescent="0.25">
      <c r="F172" s="3"/>
      <c r="H172" s="1"/>
    </row>
    <row r="173" spans="6:8" x14ac:dyDescent="0.25">
      <c r="F173" s="3"/>
      <c r="H173" s="1"/>
    </row>
    <row r="174" spans="6:8" x14ac:dyDescent="0.25">
      <c r="F174" s="3"/>
      <c r="H174" s="1"/>
    </row>
    <row r="175" spans="6:8" x14ac:dyDescent="0.25">
      <c r="F175" s="3"/>
      <c r="H175" s="1"/>
    </row>
    <row r="176" spans="6:8" x14ac:dyDescent="0.25">
      <c r="F176" s="3"/>
      <c r="H176" s="1"/>
    </row>
    <row r="177" spans="6:8" x14ac:dyDescent="0.25">
      <c r="F177" s="3"/>
      <c r="H177" s="1"/>
    </row>
    <row r="178" spans="6:8" x14ac:dyDescent="0.25">
      <c r="F178" s="3"/>
      <c r="H178" s="1"/>
    </row>
    <row r="179" spans="6:8" x14ac:dyDescent="0.25">
      <c r="F179" s="3"/>
      <c r="H179" s="1"/>
    </row>
    <row r="180" spans="6:8" x14ac:dyDescent="0.25">
      <c r="F180" s="3"/>
      <c r="H180" s="1"/>
    </row>
    <row r="181" spans="6:8" x14ac:dyDescent="0.25">
      <c r="F181" s="3"/>
      <c r="H181" s="1"/>
    </row>
    <row r="182" spans="6:8" x14ac:dyDescent="0.25">
      <c r="F182" s="3"/>
      <c r="H182" s="1"/>
    </row>
    <row r="183" spans="6:8" x14ac:dyDescent="0.25">
      <c r="F183" s="3"/>
      <c r="H183" s="1"/>
    </row>
    <row r="184" spans="6:8" x14ac:dyDescent="0.25">
      <c r="F184" s="3"/>
      <c r="H184" s="1"/>
    </row>
    <row r="185" spans="6:8" x14ac:dyDescent="0.25">
      <c r="F185" s="3"/>
      <c r="H185" s="1"/>
    </row>
    <row r="186" spans="6:8" x14ac:dyDescent="0.25">
      <c r="F186" s="3"/>
      <c r="H186" s="1"/>
    </row>
    <row r="187" spans="6:8" x14ac:dyDescent="0.25">
      <c r="F187" s="3"/>
      <c r="H187" s="1"/>
    </row>
    <row r="188" spans="6:8" x14ac:dyDescent="0.25">
      <c r="F188" s="3"/>
      <c r="H188" s="1"/>
    </row>
    <row r="189" spans="6:8" x14ac:dyDescent="0.25">
      <c r="F189" s="3"/>
      <c r="H189" s="1"/>
    </row>
    <row r="190" spans="6:8" x14ac:dyDescent="0.25">
      <c r="F190" s="3"/>
      <c r="H190" s="1"/>
    </row>
    <row r="191" spans="6:8" x14ac:dyDescent="0.25">
      <c r="F191" s="3"/>
      <c r="H191" s="1"/>
    </row>
    <row r="192" spans="6:8" x14ac:dyDescent="0.25">
      <c r="F192" s="3"/>
      <c r="H192" s="1"/>
    </row>
    <row r="193" spans="6:8" x14ac:dyDescent="0.25">
      <c r="F193" s="3"/>
      <c r="H193" s="1"/>
    </row>
    <row r="194" spans="6:8" x14ac:dyDescent="0.25">
      <c r="F194" s="3"/>
      <c r="H194" s="1"/>
    </row>
    <row r="195" spans="6:8" x14ac:dyDescent="0.25">
      <c r="F195" s="3"/>
      <c r="H195" s="1"/>
    </row>
    <row r="196" spans="6:8" x14ac:dyDescent="0.25">
      <c r="F196" s="3"/>
      <c r="H196" s="1"/>
    </row>
    <row r="197" spans="6:8" x14ac:dyDescent="0.25">
      <c r="F197" s="3"/>
      <c r="H197" s="1"/>
    </row>
    <row r="198" spans="6:8" x14ac:dyDescent="0.25">
      <c r="F198" s="3"/>
      <c r="H198" s="1"/>
    </row>
    <row r="199" spans="6:8" x14ac:dyDescent="0.25">
      <c r="F199" s="3"/>
      <c r="H199" s="1"/>
    </row>
    <row r="200" spans="6:8" x14ac:dyDescent="0.25">
      <c r="F200" s="3"/>
      <c r="H200" s="1"/>
    </row>
    <row r="201" spans="6:8" x14ac:dyDescent="0.25">
      <c r="F201" s="3"/>
      <c r="H201" s="1"/>
    </row>
    <row r="202" spans="6:8" x14ac:dyDescent="0.25">
      <c r="F202" s="3"/>
      <c r="H202" s="1"/>
    </row>
    <row r="203" spans="6:8" x14ac:dyDescent="0.25">
      <c r="F203" s="3"/>
      <c r="H203" s="1"/>
    </row>
    <row r="204" spans="6:8" x14ac:dyDescent="0.25">
      <c r="F204" s="3"/>
      <c r="H204" s="1"/>
    </row>
    <row r="205" spans="6:8" x14ac:dyDescent="0.25">
      <c r="F205" s="3"/>
      <c r="H205" s="1"/>
    </row>
    <row r="206" spans="6:8" x14ac:dyDescent="0.25">
      <c r="F206" s="3"/>
      <c r="H206" s="1"/>
    </row>
    <row r="207" spans="6:8" x14ac:dyDescent="0.25">
      <c r="F207" s="3"/>
      <c r="H207" s="1"/>
    </row>
    <row r="208" spans="6:8" x14ac:dyDescent="0.25">
      <c r="F208" s="3"/>
      <c r="H208" s="1"/>
    </row>
    <row r="209" spans="6:8" x14ac:dyDescent="0.25">
      <c r="F209" s="3"/>
      <c r="H209" s="1"/>
    </row>
    <row r="210" spans="6:8" x14ac:dyDescent="0.25">
      <c r="F210" s="3"/>
      <c r="H210" s="1"/>
    </row>
    <row r="211" spans="6:8" x14ac:dyDescent="0.25">
      <c r="F211" s="3"/>
      <c r="H211" s="1"/>
    </row>
    <row r="212" spans="6:8" x14ac:dyDescent="0.25">
      <c r="F212" s="3"/>
      <c r="H212" s="1"/>
    </row>
    <row r="213" spans="6:8" x14ac:dyDescent="0.25">
      <c r="F213" s="3"/>
      <c r="H213" s="1"/>
    </row>
    <row r="214" spans="6:8" x14ac:dyDescent="0.25">
      <c r="F214" s="3"/>
      <c r="H214" s="1"/>
    </row>
    <row r="215" spans="6:8" x14ac:dyDescent="0.25">
      <c r="F215" s="3"/>
      <c r="H215" s="1"/>
    </row>
    <row r="216" spans="6:8" x14ac:dyDescent="0.25">
      <c r="F216" s="3"/>
      <c r="H216" s="1"/>
    </row>
    <row r="217" spans="6:8" x14ac:dyDescent="0.25">
      <c r="F217" s="3"/>
      <c r="H217" s="1"/>
    </row>
    <row r="218" spans="6:8" x14ac:dyDescent="0.25">
      <c r="F218" s="3"/>
      <c r="H218" s="1"/>
    </row>
    <row r="219" spans="6:8" x14ac:dyDescent="0.25">
      <c r="F219" s="3"/>
      <c r="H219" s="1"/>
    </row>
    <row r="220" spans="6:8" x14ac:dyDescent="0.25">
      <c r="F220" s="3"/>
      <c r="H220" s="1"/>
    </row>
    <row r="221" spans="6:8" x14ac:dyDescent="0.25">
      <c r="F221" s="3"/>
      <c r="H221" s="1"/>
    </row>
    <row r="222" spans="6:8" x14ac:dyDescent="0.25">
      <c r="F222" s="3"/>
      <c r="H222" s="1"/>
    </row>
    <row r="223" spans="6:8" x14ac:dyDescent="0.25">
      <c r="F223" s="3"/>
      <c r="H223" s="1"/>
    </row>
    <row r="224" spans="6:8" x14ac:dyDescent="0.25">
      <c r="F224" s="3"/>
      <c r="H224" s="1"/>
    </row>
    <row r="225" spans="6:8" x14ac:dyDescent="0.25">
      <c r="F225" s="3"/>
      <c r="H225" s="1"/>
    </row>
    <row r="226" spans="6:8" x14ac:dyDescent="0.25">
      <c r="F226" s="3"/>
      <c r="H226" s="1"/>
    </row>
    <row r="227" spans="6:8" x14ac:dyDescent="0.25">
      <c r="F227" s="3"/>
      <c r="H227" s="1"/>
    </row>
    <row r="228" spans="6:8" x14ac:dyDescent="0.25">
      <c r="F228" s="3"/>
      <c r="H228" s="1"/>
    </row>
    <row r="229" spans="6:8" x14ac:dyDescent="0.25">
      <c r="F229" s="3"/>
      <c r="H229" s="1"/>
    </row>
    <row r="230" spans="6:8" x14ac:dyDescent="0.25">
      <c r="F230" s="3"/>
      <c r="H230" s="1"/>
    </row>
    <row r="231" spans="6:8" x14ac:dyDescent="0.25">
      <c r="F231" s="3"/>
      <c r="H231" s="1"/>
    </row>
    <row r="232" spans="6:8" x14ac:dyDescent="0.25">
      <c r="F232" s="3"/>
      <c r="H232" s="1"/>
    </row>
    <row r="233" spans="6:8" x14ac:dyDescent="0.25">
      <c r="F233" s="3"/>
      <c r="H233" s="1"/>
    </row>
    <row r="234" spans="6:8" x14ac:dyDescent="0.25">
      <c r="F234" s="3"/>
      <c r="H234" s="1"/>
    </row>
    <row r="235" spans="6:8" x14ac:dyDescent="0.25">
      <c r="F235" s="3"/>
      <c r="H235" s="1"/>
    </row>
    <row r="236" spans="6:8" x14ac:dyDescent="0.25">
      <c r="F236" s="3"/>
      <c r="H236" s="1"/>
    </row>
    <row r="237" spans="6:8" x14ac:dyDescent="0.25">
      <c r="F237" s="3"/>
      <c r="H237" s="1"/>
    </row>
    <row r="238" spans="6:8" x14ac:dyDescent="0.25">
      <c r="F238" s="3"/>
      <c r="H238" s="1"/>
    </row>
    <row r="239" spans="6:8" x14ac:dyDescent="0.25">
      <c r="F239" s="3"/>
      <c r="H239" s="1"/>
    </row>
    <row r="240" spans="6:8" x14ac:dyDescent="0.25">
      <c r="F240" s="3"/>
      <c r="H240" s="1"/>
    </row>
    <row r="241" spans="6:8" x14ac:dyDescent="0.25">
      <c r="F241" s="3"/>
      <c r="H241" s="1"/>
    </row>
    <row r="242" spans="6:8" x14ac:dyDescent="0.25">
      <c r="F242" s="3"/>
      <c r="H242" s="1"/>
    </row>
    <row r="243" spans="6:8" x14ac:dyDescent="0.25">
      <c r="F243" s="3"/>
      <c r="H243" s="1"/>
    </row>
    <row r="244" spans="6:8" x14ac:dyDescent="0.25">
      <c r="F244" s="3"/>
      <c r="H244" s="1"/>
    </row>
    <row r="245" spans="6:8" x14ac:dyDescent="0.25">
      <c r="F245" s="3"/>
      <c r="H245" s="1"/>
    </row>
    <row r="246" spans="6:8" x14ac:dyDescent="0.25">
      <c r="F246" s="3"/>
      <c r="H246" s="1"/>
    </row>
    <row r="247" spans="6:8" x14ac:dyDescent="0.25">
      <c r="F247" s="3"/>
      <c r="H247" s="1"/>
    </row>
    <row r="248" spans="6:8" x14ac:dyDescent="0.25">
      <c r="F248" s="3"/>
      <c r="H248" s="1"/>
    </row>
    <row r="249" spans="6:8" x14ac:dyDescent="0.25">
      <c r="F249" s="3"/>
      <c r="H249" s="1"/>
    </row>
    <row r="250" spans="6:8" x14ac:dyDescent="0.25">
      <c r="F250" s="3"/>
      <c r="H250" s="1"/>
    </row>
    <row r="251" spans="6:8" x14ac:dyDescent="0.25">
      <c r="F251" s="3"/>
      <c r="H251" s="1"/>
    </row>
    <row r="252" spans="6:8" x14ac:dyDescent="0.25">
      <c r="F252" s="3"/>
      <c r="H252" s="1"/>
    </row>
    <row r="253" spans="6:8" x14ac:dyDescent="0.25">
      <c r="F253" s="3"/>
      <c r="H253" s="1"/>
    </row>
    <row r="254" spans="6:8" x14ac:dyDescent="0.25">
      <c r="F254" s="3"/>
      <c r="H254" s="1"/>
    </row>
    <row r="255" spans="6:8" x14ac:dyDescent="0.25">
      <c r="F255" s="3"/>
      <c r="H255" s="1"/>
    </row>
    <row r="256" spans="6:8" x14ac:dyDescent="0.25">
      <c r="F256" s="3"/>
      <c r="H256" s="1"/>
    </row>
    <row r="257" spans="6:8" x14ac:dyDescent="0.25">
      <c r="F257" s="3"/>
      <c r="H257" s="1"/>
    </row>
    <row r="258" spans="6:8" x14ac:dyDescent="0.25">
      <c r="F258" s="3"/>
      <c r="H258" s="1"/>
    </row>
    <row r="259" spans="6:8" x14ac:dyDescent="0.25">
      <c r="F259" s="3"/>
      <c r="H259" s="1"/>
    </row>
    <row r="260" spans="6:8" x14ac:dyDescent="0.25">
      <c r="F260" s="3"/>
      <c r="H260" s="1"/>
    </row>
    <row r="261" spans="6:8" x14ac:dyDescent="0.25">
      <c r="F261" s="3"/>
      <c r="H261" s="1"/>
    </row>
    <row r="262" spans="6:8" x14ac:dyDescent="0.25">
      <c r="F262" s="3"/>
      <c r="H262" s="1"/>
    </row>
    <row r="263" spans="6:8" x14ac:dyDescent="0.25">
      <c r="F263" s="3"/>
      <c r="H263" s="1"/>
    </row>
    <row r="264" spans="6:8" x14ac:dyDescent="0.25">
      <c r="F264" s="3"/>
      <c r="H264" s="1"/>
    </row>
    <row r="265" spans="6:8" x14ac:dyDescent="0.25">
      <c r="F265" s="3"/>
      <c r="H265" s="1"/>
    </row>
    <row r="266" spans="6:8" x14ac:dyDescent="0.25">
      <c r="F266" s="3"/>
      <c r="H266" s="1"/>
    </row>
    <row r="267" spans="6:8" x14ac:dyDescent="0.25">
      <c r="F267" s="3"/>
      <c r="H267" s="1"/>
    </row>
    <row r="268" spans="6:8" x14ac:dyDescent="0.25">
      <c r="F268" s="3"/>
      <c r="H268" s="1"/>
    </row>
    <row r="269" spans="6:8" x14ac:dyDescent="0.25">
      <c r="F269" s="3"/>
      <c r="H269" s="1"/>
    </row>
    <row r="270" spans="6:8" x14ac:dyDescent="0.25">
      <c r="F270" s="3"/>
      <c r="H270" s="1"/>
    </row>
    <row r="271" spans="6:8" x14ac:dyDescent="0.25">
      <c r="F271" s="3"/>
      <c r="H271" s="1"/>
    </row>
    <row r="272" spans="6:8" x14ac:dyDescent="0.25">
      <c r="F272" s="3"/>
      <c r="H272" s="1"/>
    </row>
    <row r="273" spans="6:8" x14ac:dyDescent="0.25">
      <c r="F273" s="3"/>
      <c r="H273" s="1"/>
    </row>
    <row r="274" spans="6:8" x14ac:dyDescent="0.25">
      <c r="F274" s="3"/>
      <c r="H274" s="1"/>
    </row>
    <row r="275" spans="6:8" x14ac:dyDescent="0.25">
      <c r="F275" s="3"/>
      <c r="H275" s="1"/>
    </row>
    <row r="276" spans="6:8" x14ac:dyDescent="0.25">
      <c r="F276" s="3"/>
      <c r="H276" s="1"/>
    </row>
    <row r="277" spans="6:8" x14ac:dyDescent="0.25">
      <c r="F277" s="3"/>
      <c r="H277" s="1"/>
    </row>
    <row r="278" spans="6:8" x14ac:dyDescent="0.25">
      <c r="F278" s="3"/>
      <c r="H278" s="1"/>
    </row>
    <row r="279" spans="6:8" x14ac:dyDescent="0.25">
      <c r="F279" s="3"/>
      <c r="H279" s="1"/>
    </row>
    <row r="280" spans="6:8" x14ac:dyDescent="0.25">
      <c r="F280" s="3"/>
      <c r="H280" s="1"/>
    </row>
    <row r="281" spans="6:8" x14ac:dyDescent="0.25">
      <c r="F281" s="3"/>
      <c r="H281" s="1"/>
    </row>
    <row r="282" spans="6:8" x14ac:dyDescent="0.25">
      <c r="F282" s="3"/>
      <c r="H282" s="1"/>
    </row>
    <row r="283" spans="6:8" x14ac:dyDescent="0.25">
      <c r="F283" s="3"/>
      <c r="H283" s="1"/>
    </row>
    <row r="284" spans="6:8" x14ac:dyDescent="0.25">
      <c r="F284" s="3"/>
      <c r="H284" s="1"/>
    </row>
    <row r="285" spans="6:8" x14ac:dyDescent="0.25">
      <c r="F285" s="3"/>
      <c r="H285" s="1"/>
    </row>
    <row r="286" spans="6:8" x14ac:dyDescent="0.25">
      <c r="F286" s="3"/>
      <c r="H286" s="1"/>
    </row>
    <row r="287" spans="6:8" x14ac:dyDescent="0.25">
      <c r="F287" s="3"/>
      <c r="H287" s="1"/>
    </row>
    <row r="288" spans="6:8" x14ac:dyDescent="0.25">
      <c r="F288" s="3"/>
      <c r="H288" s="1"/>
    </row>
    <row r="289" spans="6:8" x14ac:dyDescent="0.25">
      <c r="F289" s="3"/>
      <c r="H289" s="1"/>
    </row>
    <row r="290" spans="6:8" x14ac:dyDescent="0.25">
      <c r="F290" s="3"/>
      <c r="H290" s="1"/>
    </row>
    <row r="291" spans="6:8" x14ac:dyDescent="0.25">
      <c r="F291" s="3"/>
      <c r="H291" s="1"/>
    </row>
    <row r="292" spans="6:8" x14ac:dyDescent="0.25">
      <c r="F292" s="3"/>
      <c r="H292" s="1"/>
    </row>
    <row r="293" spans="6:8" x14ac:dyDescent="0.25">
      <c r="F293" s="3"/>
      <c r="H293" s="1"/>
    </row>
    <row r="294" spans="6:8" x14ac:dyDescent="0.25">
      <c r="F294" s="3"/>
      <c r="H294" s="1"/>
    </row>
    <row r="295" spans="6:8" x14ac:dyDescent="0.25">
      <c r="F295" s="3"/>
      <c r="H295" s="1"/>
    </row>
    <row r="296" spans="6:8" x14ac:dyDescent="0.25">
      <c r="F296" s="3"/>
      <c r="H296" s="1"/>
    </row>
    <row r="297" spans="6:8" x14ac:dyDescent="0.25">
      <c r="F297" s="3"/>
      <c r="H297" s="1"/>
    </row>
    <row r="298" spans="6:8" x14ac:dyDescent="0.25">
      <c r="F298" s="3"/>
      <c r="H298" s="1"/>
    </row>
    <row r="299" spans="6:8" x14ac:dyDescent="0.25">
      <c r="F299" s="3"/>
      <c r="H299" s="1"/>
    </row>
    <row r="300" spans="6:8" x14ac:dyDescent="0.25">
      <c r="F300" s="3"/>
      <c r="H300" s="1"/>
    </row>
    <row r="301" spans="6:8" x14ac:dyDescent="0.25">
      <c r="F301" s="3"/>
      <c r="H301" s="1"/>
    </row>
    <row r="302" spans="6:8" x14ac:dyDescent="0.25">
      <c r="F302" s="3"/>
      <c r="H302" s="1"/>
    </row>
    <row r="303" spans="6:8" x14ac:dyDescent="0.25">
      <c r="F303" s="3"/>
      <c r="H303" s="1"/>
    </row>
    <row r="304" spans="6:8" x14ac:dyDescent="0.25">
      <c r="F304" s="3"/>
      <c r="H304" s="1"/>
    </row>
    <row r="305" spans="6:8" x14ac:dyDescent="0.25">
      <c r="F305" s="3"/>
      <c r="H305" s="1"/>
    </row>
    <row r="306" spans="6:8" x14ac:dyDescent="0.25">
      <c r="F306" s="3"/>
      <c r="H306" s="1"/>
    </row>
    <row r="307" spans="6:8" x14ac:dyDescent="0.25">
      <c r="F307" s="3"/>
      <c r="H307" s="1"/>
    </row>
    <row r="308" spans="6:8" x14ac:dyDescent="0.25">
      <c r="F308" s="3"/>
      <c r="H308" s="1"/>
    </row>
    <row r="309" spans="6:8" x14ac:dyDescent="0.25">
      <c r="F309" s="3"/>
      <c r="H309" s="1"/>
    </row>
    <row r="310" spans="6:8" x14ac:dyDescent="0.25">
      <c r="F310" s="3"/>
      <c r="H310" s="1"/>
    </row>
    <row r="311" spans="6:8" x14ac:dyDescent="0.25">
      <c r="F311" s="3"/>
      <c r="H311" s="1"/>
    </row>
    <row r="312" spans="6:8" x14ac:dyDescent="0.25">
      <c r="F312" s="3"/>
      <c r="H312" s="1"/>
    </row>
    <row r="313" spans="6:8" x14ac:dyDescent="0.25">
      <c r="F313" s="3"/>
      <c r="H313" s="1"/>
    </row>
    <row r="314" spans="6:8" x14ac:dyDescent="0.25">
      <c r="F314" s="3"/>
      <c r="H314" s="1"/>
    </row>
    <row r="315" spans="6:8" x14ac:dyDescent="0.25">
      <c r="F315" s="3"/>
      <c r="H315" s="1"/>
    </row>
    <row r="316" spans="6:8" x14ac:dyDescent="0.25">
      <c r="F316" s="3"/>
      <c r="H316" s="1"/>
    </row>
    <row r="317" spans="6:8" x14ac:dyDescent="0.25">
      <c r="F317" s="3"/>
      <c r="H317" s="1"/>
    </row>
    <row r="318" spans="6:8" x14ac:dyDescent="0.25">
      <c r="F318" s="3"/>
      <c r="H318" s="1"/>
    </row>
    <row r="319" spans="6:8" x14ac:dyDescent="0.25">
      <c r="F319" s="3"/>
      <c r="H319" s="1"/>
    </row>
    <row r="320" spans="6:8" x14ac:dyDescent="0.25">
      <c r="F320" s="3"/>
      <c r="H320" s="1"/>
    </row>
    <row r="321" spans="6:8" x14ac:dyDescent="0.25">
      <c r="F321" s="3"/>
      <c r="H321" s="1"/>
    </row>
    <row r="322" spans="6:8" x14ac:dyDescent="0.25">
      <c r="F322" s="3"/>
      <c r="H322" s="1"/>
    </row>
    <row r="323" spans="6:8" x14ac:dyDescent="0.25">
      <c r="F323" s="3"/>
      <c r="H323" s="1"/>
    </row>
    <row r="324" spans="6:8" x14ac:dyDescent="0.25">
      <c r="F324" s="3"/>
      <c r="H324" s="1"/>
    </row>
    <row r="325" spans="6:8" x14ac:dyDescent="0.25">
      <c r="F325" s="3"/>
      <c r="H325" s="1"/>
    </row>
    <row r="326" spans="6:8" x14ac:dyDescent="0.25">
      <c r="F326" s="3"/>
      <c r="H326" s="1"/>
    </row>
    <row r="327" spans="6:8" x14ac:dyDescent="0.25">
      <c r="F327" s="3"/>
      <c r="H327" s="1"/>
    </row>
    <row r="328" spans="6:8" x14ac:dyDescent="0.25">
      <c r="F328" s="3"/>
      <c r="H328" s="1"/>
    </row>
    <row r="329" spans="6:8" x14ac:dyDescent="0.25">
      <c r="F329" s="3"/>
      <c r="H329" s="1"/>
    </row>
    <row r="330" spans="6:8" x14ac:dyDescent="0.25">
      <c r="F330" s="3"/>
      <c r="H330" s="1"/>
    </row>
    <row r="331" spans="6:8" x14ac:dyDescent="0.25">
      <c r="F331" s="3"/>
      <c r="H331" s="1"/>
    </row>
    <row r="332" spans="6:8" x14ac:dyDescent="0.25">
      <c r="F332" s="3"/>
      <c r="H332" s="1"/>
    </row>
    <row r="333" spans="6:8" x14ac:dyDescent="0.25">
      <c r="F333" s="3"/>
      <c r="H333" s="1"/>
    </row>
    <row r="334" spans="6:8" x14ac:dyDescent="0.25">
      <c r="F334" s="3"/>
      <c r="H334" s="1"/>
    </row>
    <row r="335" spans="6:8" x14ac:dyDescent="0.25">
      <c r="F335" s="3"/>
      <c r="H335" s="1"/>
    </row>
    <row r="336" spans="6:8" x14ac:dyDescent="0.25">
      <c r="F336" s="3"/>
      <c r="H336" s="1"/>
    </row>
    <row r="337" spans="6:8" x14ac:dyDescent="0.25">
      <c r="F337" s="3"/>
      <c r="H337" s="1"/>
    </row>
    <row r="338" spans="6:8" x14ac:dyDescent="0.25">
      <c r="F338" s="3"/>
      <c r="H338" s="1"/>
    </row>
    <row r="339" spans="6:8" x14ac:dyDescent="0.25">
      <c r="F339" s="3"/>
      <c r="H339" s="1"/>
    </row>
    <row r="340" spans="6:8" x14ac:dyDescent="0.25">
      <c r="F340" s="3"/>
      <c r="H340" s="1"/>
    </row>
    <row r="341" spans="6:8" x14ac:dyDescent="0.25">
      <c r="F341" s="3"/>
      <c r="H341" s="1"/>
    </row>
    <row r="342" spans="6:8" x14ac:dyDescent="0.25">
      <c r="F342" s="3"/>
      <c r="H342" s="1"/>
    </row>
    <row r="343" spans="6:8" x14ac:dyDescent="0.25">
      <c r="F343" s="3"/>
      <c r="H343" s="1"/>
    </row>
    <row r="344" spans="6:8" x14ac:dyDescent="0.25">
      <c r="F344" s="3"/>
      <c r="H344" s="1"/>
    </row>
    <row r="345" spans="6:8" x14ac:dyDescent="0.25">
      <c r="F345" s="3"/>
      <c r="H345" s="1"/>
    </row>
    <row r="346" spans="6:8" x14ac:dyDescent="0.25">
      <c r="F346" s="3"/>
      <c r="H346" s="1"/>
    </row>
    <row r="347" spans="6:8" x14ac:dyDescent="0.25">
      <c r="F347" s="3"/>
      <c r="H347" s="1"/>
    </row>
    <row r="348" spans="6:8" x14ac:dyDescent="0.25">
      <c r="F348" s="3"/>
      <c r="H348" s="1"/>
    </row>
    <row r="349" spans="6:8" x14ac:dyDescent="0.25">
      <c r="F349" s="3"/>
      <c r="H349" s="1"/>
    </row>
    <row r="350" spans="6:8" x14ac:dyDescent="0.25">
      <c r="F350" s="3"/>
      <c r="H350" s="1"/>
    </row>
    <row r="351" spans="6:8" x14ac:dyDescent="0.25">
      <c r="F351" s="3"/>
      <c r="H351" s="1"/>
    </row>
    <row r="352" spans="6:8" x14ac:dyDescent="0.25">
      <c r="F352" s="3"/>
      <c r="H352" s="1"/>
    </row>
    <row r="353" spans="6:8" x14ac:dyDescent="0.25">
      <c r="F353" s="3"/>
      <c r="H353" s="1"/>
    </row>
    <row r="354" spans="6:8" x14ac:dyDescent="0.25">
      <c r="F354" s="3"/>
      <c r="H354" s="1"/>
    </row>
    <row r="355" spans="6:8" x14ac:dyDescent="0.25">
      <c r="F355" s="3"/>
      <c r="H355" s="1"/>
    </row>
    <row r="356" spans="6:8" x14ac:dyDescent="0.25">
      <c r="F356" s="3"/>
      <c r="H356" s="1"/>
    </row>
    <row r="357" spans="6:8" x14ac:dyDescent="0.25">
      <c r="F357" s="3"/>
      <c r="H357" s="1"/>
    </row>
    <row r="358" spans="6:8" x14ac:dyDescent="0.25">
      <c r="F358" s="3"/>
      <c r="H358" s="1"/>
    </row>
    <row r="359" spans="6:8" x14ac:dyDescent="0.25">
      <c r="F359" s="3"/>
      <c r="H359" s="1"/>
    </row>
    <row r="360" spans="6:8" x14ac:dyDescent="0.25">
      <c r="F360" s="3"/>
      <c r="H360" s="1"/>
    </row>
    <row r="361" spans="6:8" x14ac:dyDescent="0.25">
      <c r="F361" s="3"/>
      <c r="H361" s="1"/>
    </row>
    <row r="362" spans="6:8" x14ac:dyDescent="0.25">
      <c r="F362" s="3"/>
      <c r="H362" s="1"/>
    </row>
    <row r="363" spans="6:8" x14ac:dyDescent="0.25">
      <c r="F363" s="3"/>
      <c r="H363" s="1"/>
    </row>
    <row r="364" spans="6:8" x14ac:dyDescent="0.25">
      <c r="F364" s="3"/>
      <c r="H364" s="1"/>
    </row>
    <row r="365" spans="6:8" x14ac:dyDescent="0.25">
      <c r="F365" s="3"/>
      <c r="H365" s="1"/>
    </row>
    <row r="366" spans="6:8" x14ac:dyDescent="0.25">
      <c r="F366" s="3"/>
      <c r="H366" s="1"/>
    </row>
    <row r="367" spans="6:8" x14ac:dyDescent="0.25">
      <c r="F367" s="3"/>
      <c r="H367" s="1"/>
    </row>
    <row r="368" spans="6:8" x14ac:dyDescent="0.25">
      <c r="F368" s="3"/>
      <c r="H368" s="1"/>
    </row>
    <row r="369" spans="6:8" x14ac:dyDescent="0.25">
      <c r="F369" s="3"/>
      <c r="H369" s="1"/>
    </row>
    <row r="370" spans="6:8" x14ac:dyDescent="0.25">
      <c r="F370" s="3"/>
      <c r="H370" s="1"/>
    </row>
    <row r="371" spans="6:8" x14ac:dyDescent="0.25">
      <c r="F371" s="3"/>
      <c r="H371" s="1"/>
    </row>
    <row r="372" spans="6:8" x14ac:dyDescent="0.25">
      <c r="F372" s="3"/>
      <c r="H372" s="1"/>
    </row>
    <row r="373" spans="6:8" x14ac:dyDescent="0.25">
      <c r="F373" s="3"/>
      <c r="H373" s="1"/>
    </row>
    <row r="374" spans="6:8" x14ac:dyDescent="0.25">
      <c r="F374" s="3"/>
      <c r="H374" s="1"/>
    </row>
    <row r="375" spans="6:8" x14ac:dyDescent="0.25">
      <c r="F375" s="3"/>
      <c r="H375" s="1"/>
    </row>
    <row r="376" spans="6:8" x14ac:dyDescent="0.25">
      <c r="F376" s="3"/>
      <c r="H376" s="1"/>
    </row>
    <row r="377" spans="6:8" x14ac:dyDescent="0.25">
      <c r="F377" s="3"/>
      <c r="H377" s="1"/>
    </row>
    <row r="378" spans="6:8" x14ac:dyDescent="0.25">
      <c r="F378" s="3"/>
      <c r="H378" s="1"/>
    </row>
    <row r="379" spans="6:8" x14ac:dyDescent="0.25">
      <c r="F379" s="3"/>
      <c r="H379" s="1"/>
    </row>
    <row r="380" spans="6:8" x14ac:dyDescent="0.25">
      <c r="F380" s="3"/>
      <c r="H380" s="1"/>
    </row>
    <row r="381" spans="6:8" x14ac:dyDescent="0.25">
      <c r="F381" s="3"/>
      <c r="H381" s="1"/>
    </row>
    <row r="382" spans="6:8" x14ac:dyDescent="0.25">
      <c r="F382" s="3"/>
      <c r="H382" s="1"/>
    </row>
    <row r="383" spans="6:8" x14ac:dyDescent="0.25">
      <c r="F383" s="3"/>
      <c r="H383" s="1"/>
    </row>
    <row r="384" spans="6:8" x14ac:dyDescent="0.25">
      <c r="F384" s="3"/>
      <c r="H384" s="1"/>
    </row>
    <row r="385" spans="6:8" x14ac:dyDescent="0.25">
      <c r="F385" s="3"/>
      <c r="H385" s="1"/>
    </row>
    <row r="386" spans="6:8" x14ac:dyDescent="0.25">
      <c r="F386" s="3"/>
      <c r="H386" s="1"/>
    </row>
    <row r="387" spans="6:8" x14ac:dyDescent="0.25">
      <c r="F387" s="3"/>
      <c r="H387" s="1"/>
    </row>
    <row r="388" spans="6:8" x14ac:dyDescent="0.25">
      <c r="F388" s="3"/>
      <c r="H388" s="1"/>
    </row>
    <row r="389" spans="6:8" x14ac:dyDescent="0.25">
      <c r="F389" s="3"/>
      <c r="H389" s="1"/>
    </row>
    <row r="390" spans="6:8" x14ac:dyDescent="0.25">
      <c r="F390" s="3"/>
      <c r="H390" s="1"/>
    </row>
    <row r="391" spans="6:8" x14ac:dyDescent="0.25">
      <c r="F391" s="3"/>
      <c r="H391" s="1"/>
    </row>
    <row r="392" spans="6:8" x14ac:dyDescent="0.25">
      <c r="F392" s="3"/>
      <c r="H392" s="1"/>
    </row>
    <row r="393" spans="6:8" x14ac:dyDescent="0.25">
      <c r="F393" s="3"/>
      <c r="H393" s="1"/>
    </row>
    <row r="394" spans="6:8" x14ac:dyDescent="0.25">
      <c r="F394" s="3"/>
      <c r="H394" s="1"/>
    </row>
    <row r="395" spans="6:8" x14ac:dyDescent="0.25">
      <c r="F395" s="3"/>
      <c r="H395" s="1"/>
    </row>
    <row r="396" spans="6:8" x14ac:dyDescent="0.25">
      <c r="F396" s="3"/>
      <c r="H396" s="1"/>
    </row>
    <row r="397" spans="6:8" x14ac:dyDescent="0.25">
      <c r="F397" s="3"/>
      <c r="H397" s="1"/>
    </row>
    <row r="398" spans="6:8" x14ac:dyDescent="0.25">
      <c r="F398" s="3"/>
      <c r="H398" s="1"/>
    </row>
    <row r="399" spans="6:8" x14ac:dyDescent="0.25">
      <c r="F399" s="3"/>
      <c r="H399" s="1"/>
    </row>
    <row r="400" spans="6:8" x14ac:dyDescent="0.25">
      <c r="F400" s="3"/>
      <c r="H400" s="1"/>
    </row>
    <row r="401" spans="6:8" x14ac:dyDescent="0.25">
      <c r="F401" s="3"/>
      <c r="H401" s="1"/>
    </row>
    <row r="402" spans="6:8" x14ac:dyDescent="0.25">
      <c r="F402" s="3"/>
      <c r="H402" s="1"/>
    </row>
    <row r="403" spans="6:8" x14ac:dyDescent="0.25">
      <c r="F403" s="3"/>
      <c r="H403" s="1"/>
    </row>
    <row r="404" spans="6:8" x14ac:dyDescent="0.25">
      <c r="F404" s="3"/>
      <c r="H404" s="1"/>
    </row>
    <row r="405" spans="6:8" x14ac:dyDescent="0.25">
      <c r="F405" s="3"/>
      <c r="H405" s="1"/>
    </row>
    <row r="406" spans="6:8" x14ac:dyDescent="0.25">
      <c r="F406" s="3"/>
      <c r="H406" s="1"/>
    </row>
    <row r="407" spans="6:8" x14ac:dyDescent="0.25">
      <c r="F407" s="3"/>
      <c r="H407" s="1"/>
    </row>
    <row r="408" spans="6:8" x14ac:dyDescent="0.25">
      <c r="F408" s="3"/>
      <c r="H408" s="1"/>
    </row>
    <row r="409" spans="6:8" x14ac:dyDescent="0.25">
      <c r="F409" s="3"/>
      <c r="H409" s="1"/>
    </row>
    <row r="410" spans="6:8" x14ac:dyDescent="0.25">
      <c r="F410" s="3"/>
      <c r="H410" s="1"/>
    </row>
    <row r="411" spans="6:8" x14ac:dyDescent="0.25">
      <c r="F411" s="3"/>
      <c r="H411" s="1"/>
    </row>
    <row r="412" spans="6:8" x14ac:dyDescent="0.25">
      <c r="F412" s="3"/>
      <c r="H412" s="1"/>
    </row>
    <row r="413" spans="6:8" x14ac:dyDescent="0.25">
      <c r="F413" s="3"/>
      <c r="H413" s="1"/>
    </row>
    <row r="414" spans="6:8" x14ac:dyDescent="0.25">
      <c r="F414" s="3"/>
      <c r="H414" s="1"/>
    </row>
    <row r="415" spans="6:8" x14ac:dyDescent="0.25">
      <c r="F415" s="3"/>
      <c r="H415" s="1"/>
    </row>
    <row r="416" spans="6:8" x14ac:dyDescent="0.25">
      <c r="F416" s="3"/>
      <c r="H416" s="1"/>
    </row>
    <row r="417" spans="6:8" x14ac:dyDescent="0.25">
      <c r="F417" s="3"/>
      <c r="H417" s="1"/>
    </row>
    <row r="418" spans="6:8" x14ac:dyDescent="0.25">
      <c r="F418" s="3"/>
      <c r="H418" s="1"/>
    </row>
    <row r="419" spans="6:8" x14ac:dyDescent="0.25">
      <c r="F419" s="3"/>
      <c r="H419" s="1"/>
    </row>
    <row r="420" spans="6:8" x14ac:dyDescent="0.25">
      <c r="F420" s="3"/>
      <c r="H420" s="1"/>
    </row>
    <row r="421" spans="6:8" x14ac:dyDescent="0.25">
      <c r="F421" s="3"/>
      <c r="H421" s="1"/>
    </row>
    <row r="422" spans="6:8" x14ac:dyDescent="0.25">
      <c r="F422" s="3"/>
      <c r="H422" s="1"/>
    </row>
    <row r="423" spans="6:8" x14ac:dyDescent="0.25">
      <c r="F423" s="3"/>
      <c r="H423" s="1"/>
    </row>
    <row r="424" spans="6:8" x14ac:dyDescent="0.25">
      <c r="F424" s="3"/>
      <c r="H424" s="1"/>
    </row>
    <row r="425" spans="6:8" x14ac:dyDescent="0.25">
      <c r="F425" s="3"/>
      <c r="H425" s="1"/>
    </row>
    <row r="426" spans="6:8" x14ac:dyDescent="0.25">
      <c r="F426" s="3"/>
      <c r="H426" s="1"/>
    </row>
    <row r="427" spans="6:8" x14ac:dyDescent="0.25">
      <c r="F427" s="3"/>
      <c r="H427" s="1"/>
    </row>
    <row r="428" spans="6:8" x14ac:dyDescent="0.25">
      <c r="F428" s="3"/>
      <c r="H428" s="1"/>
    </row>
    <row r="429" spans="6:8" x14ac:dyDescent="0.25">
      <c r="F429" s="3"/>
      <c r="H429" s="1"/>
    </row>
    <row r="430" spans="6:8" x14ac:dyDescent="0.25">
      <c r="F430" s="3"/>
      <c r="H430" s="1"/>
    </row>
    <row r="431" spans="6:8" x14ac:dyDescent="0.25">
      <c r="F431" s="3"/>
      <c r="H431" s="1"/>
    </row>
    <row r="432" spans="6:8" x14ac:dyDescent="0.25">
      <c r="F432" s="3"/>
      <c r="H432" s="1"/>
    </row>
    <row r="433" spans="6:8" x14ac:dyDescent="0.25">
      <c r="F433" s="3"/>
      <c r="H433" s="1"/>
    </row>
    <row r="434" spans="6:8" x14ac:dyDescent="0.25">
      <c r="F434" s="3"/>
      <c r="H434" s="1"/>
    </row>
    <row r="435" spans="6:8" x14ac:dyDescent="0.25">
      <c r="F435" s="3"/>
      <c r="H435" s="1"/>
    </row>
    <row r="436" spans="6:8" x14ac:dyDescent="0.25">
      <c r="F436" s="3"/>
      <c r="H436" s="1"/>
    </row>
    <row r="437" spans="6:8" x14ac:dyDescent="0.25">
      <c r="F437" s="3"/>
      <c r="H437" s="1"/>
    </row>
    <row r="438" spans="6:8" x14ac:dyDescent="0.25">
      <c r="F438" s="3"/>
      <c r="H438" s="1"/>
    </row>
    <row r="439" spans="6:8" x14ac:dyDescent="0.25">
      <c r="F439" s="3"/>
      <c r="H439" s="1"/>
    </row>
    <row r="440" spans="6:8" x14ac:dyDescent="0.25">
      <c r="F440" s="3"/>
      <c r="H440" s="1"/>
    </row>
    <row r="441" spans="6:8" x14ac:dyDescent="0.25">
      <c r="F441" s="3"/>
      <c r="H441" s="1"/>
    </row>
    <row r="442" spans="6:8" x14ac:dyDescent="0.25">
      <c r="F442" s="3"/>
      <c r="H442" s="1"/>
    </row>
    <row r="443" spans="6:8" x14ac:dyDescent="0.25">
      <c r="F443" s="3"/>
      <c r="H443" s="1"/>
    </row>
    <row r="444" spans="6:8" x14ac:dyDescent="0.25">
      <c r="F444" s="3"/>
      <c r="H444" s="1"/>
    </row>
    <row r="445" spans="6:8" x14ac:dyDescent="0.25">
      <c r="F445" s="3"/>
      <c r="H445" s="1"/>
    </row>
    <row r="446" spans="6:8" x14ac:dyDescent="0.25">
      <c r="F446" s="3"/>
      <c r="H446" s="1"/>
    </row>
    <row r="447" spans="6:8" x14ac:dyDescent="0.25">
      <c r="F447" s="3"/>
      <c r="H447" s="1"/>
    </row>
    <row r="448" spans="6:8" x14ac:dyDescent="0.25">
      <c r="F448" s="3"/>
      <c r="H448" s="1"/>
    </row>
    <row r="449" spans="6:8" x14ac:dyDescent="0.25">
      <c r="F449" s="3"/>
      <c r="H449" s="1"/>
    </row>
    <row r="450" spans="6:8" x14ac:dyDescent="0.25">
      <c r="F450" s="3"/>
      <c r="H450" s="1"/>
    </row>
    <row r="451" spans="6:8" x14ac:dyDescent="0.25">
      <c r="F451" s="3"/>
      <c r="H451" s="1"/>
    </row>
    <row r="452" spans="6:8" x14ac:dyDescent="0.25">
      <c r="F452" s="3"/>
      <c r="H452" s="1"/>
    </row>
    <row r="453" spans="6:8" x14ac:dyDescent="0.25">
      <c r="F453" s="3"/>
      <c r="H453" s="1"/>
    </row>
    <row r="454" spans="6:8" x14ac:dyDescent="0.25">
      <c r="F454" s="3"/>
      <c r="H454" s="1"/>
    </row>
    <row r="455" spans="6:8" x14ac:dyDescent="0.25">
      <c r="F455" s="3"/>
      <c r="H455" s="1"/>
    </row>
    <row r="456" spans="6:8" x14ac:dyDescent="0.25">
      <c r="F456" s="3"/>
      <c r="H456" s="1"/>
    </row>
    <row r="457" spans="6:8" x14ac:dyDescent="0.25">
      <c r="F457" s="3"/>
      <c r="H457" s="1"/>
    </row>
    <row r="458" spans="6:8" x14ac:dyDescent="0.25">
      <c r="F458" s="3"/>
      <c r="H458" s="1"/>
    </row>
    <row r="459" spans="6:8" x14ac:dyDescent="0.25">
      <c r="F459" s="3"/>
      <c r="H459" s="1"/>
    </row>
    <row r="460" spans="6:8" x14ac:dyDescent="0.25">
      <c r="F460" s="3"/>
      <c r="H460" s="1"/>
    </row>
    <row r="461" spans="6:8" x14ac:dyDescent="0.25">
      <c r="F461" s="3"/>
      <c r="H461" s="1"/>
    </row>
    <row r="462" spans="6:8" x14ac:dyDescent="0.25">
      <c r="F462" s="3"/>
      <c r="H462" s="1"/>
    </row>
    <row r="463" spans="6:8" x14ac:dyDescent="0.25">
      <c r="F463" s="3"/>
      <c r="H463" s="1"/>
    </row>
    <row r="464" spans="6:8" x14ac:dyDescent="0.25">
      <c r="F464" s="3"/>
      <c r="H464" s="1"/>
    </row>
    <row r="465" spans="6:8" x14ac:dyDescent="0.25">
      <c r="F465" s="3"/>
      <c r="H465" s="1"/>
    </row>
    <row r="466" spans="6:8" x14ac:dyDescent="0.25">
      <c r="F466" s="3"/>
      <c r="H466" s="1"/>
    </row>
    <row r="467" spans="6:8" x14ac:dyDescent="0.25">
      <c r="F467" s="3"/>
      <c r="H467" s="1"/>
    </row>
    <row r="468" spans="6:8" x14ac:dyDescent="0.25">
      <c r="F468" s="3"/>
      <c r="H468" s="1"/>
    </row>
    <row r="469" spans="6:8" x14ac:dyDescent="0.25">
      <c r="F469" s="3"/>
      <c r="H469" s="1"/>
    </row>
    <row r="470" spans="6:8" x14ac:dyDescent="0.25">
      <c r="F470" s="3"/>
      <c r="H470" s="1"/>
    </row>
    <row r="471" spans="6:8" x14ac:dyDescent="0.25">
      <c r="F471" s="3"/>
      <c r="H471" s="1"/>
    </row>
    <row r="472" spans="6:8" x14ac:dyDescent="0.25">
      <c r="F472" s="3"/>
      <c r="H472" s="1"/>
    </row>
    <row r="473" spans="6:8" x14ac:dyDescent="0.25">
      <c r="F473" s="3"/>
      <c r="H473" s="1"/>
    </row>
    <row r="474" spans="6:8" x14ac:dyDescent="0.25">
      <c r="F474" s="3"/>
      <c r="H474" s="1"/>
    </row>
    <row r="475" spans="6:8" x14ac:dyDescent="0.25">
      <c r="F475" s="3"/>
      <c r="H475" s="1"/>
    </row>
    <row r="476" spans="6:8" x14ac:dyDescent="0.25">
      <c r="F476" s="3"/>
      <c r="H476" s="1"/>
    </row>
    <row r="477" spans="6:8" x14ac:dyDescent="0.25">
      <c r="F477" s="3"/>
      <c r="H477" s="1"/>
    </row>
    <row r="478" spans="6:8" x14ac:dyDescent="0.25">
      <c r="F478" s="3"/>
      <c r="H478" s="1"/>
    </row>
    <row r="479" spans="6:8" x14ac:dyDescent="0.25">
      <c r="F479" s="3"/>
      <c r="H479" s="1"/>
    </row>
    <row r="480" spans="6:8" x14ac:dyDescent="0.25">
      <c r="F480" s="3"/>
      <c r="H480" s="1"/>
    </row>
    <row r="481" spans="6:8" x14ac:dyDescent="0.25">
      <c r="F481" s="3"/>
      <c r="H481" s="1"/>
    </row>
    <row r="482" spans="6:8" x14ac:dyDescent="0.25">
      <c r="F482" s="3"/>
      <c r="H482" s="1"/>
    </row>
    <row r="483" spans="6:8" x14ac:dyDescent="0.25">
      <c r="F483" s="3"/>
      <c r="H483" s="1"/>
    </row>
    <row r="484" spans="6:8" x14ac:dyDescent="0.25">
      <c r="F484" s="3"/>
      <c r="H484" s="1"/>
    </row>
    <row r="485" spans="6:8" x14ac:dyDescent="0.25">
      <c r="F485" s="3"/>
      <c r="H485" s="1"/>
    </row>
    <row r="486" spans="6:8" x14ac:dyDescent="0.25">
      <c r="F486" s="3"/>
      <c r="H486" s="1"/>
    </row>
    <row r="487" spans="6:8" x14ac:dyDescent="0.25">
      <c r="F487" s="3"/>
      <c r="H487" s="1"/>
    </row>
    <row r="488" spans="6:8" x14ac:dyDescent="0.25">
      <c r="F488" s="3"/>
      <c r="H488" s="1"/>
    </row>
    <row r="489" spans="6:8" x14ac:dyDescent="0.25">
      <c r="F489" s="3"/>
      <c r="H489" s="1"/>
    </row>
    <row r="490" spans="6:8" x14ac:dyDescent="0.25">
      <c r="F490" s="3"/>
      <c r="H490" s="1"/>
    </row>
    <row r="491" spans="6:8" x14ac:dyDescent="0.25">
      <c r="F491" s="3"/>
      <c r="H491" s="1"/>
    </row>
    <row r="492" spans="6:8" x14ac:dyDescent="0.25">
      <c r="F492" s="3"/>
      <c r="H492" s="1"/>
    </row>
    <row r="493" spans="6:8" x14ac:dyDescent="0.25">
      <c r="F493" s="3"/>
      <c r="H493" s="1"/>
    </row>
    <row r="494" spans="6:8" x14ac:dyDescent="0.25">
      <c r="F494" s="3"/>
      <c r="H494" s="1"/>
    </row>
    <row r="495" spans="6:8" x14ac:dyDescent="0.25">
      <c r="F495" s="3"/>
      <c r="H495" s="1"/>
    </row>
    <row r="496" spans="6:8" x14ac:dyDescent="0.25">
      <c r="F496" s="3"/>
      <c r="H496" s="1"/>
    </row>
    <row r="497" spans="6:8" x14ac:dyDescent="0.25">
      <c r="F497" s="3"/>
      <c r="H497" s="1"/>
    </row>
    <row r="498" spans="6:8" x14ac:dyDescent="0.25">
      <c r="F498" s="3"/>
      <c r="H498" s="1"/>
    </row>
    <row r="499" spans="6:8" x14ac:dyDescent="0.25">
      <c r="F499" s="3"/>
      <c r="H499" s="1"/>
    </row>
    <row r="500" spans="6:8" x14ac:dyDescent="0.25">
      <c r="F500" s="3"/>
      <c r="H500" s="1"/>
    </row>
    <row r="501" spans="6:8" x14ac:dyDescent="0.25">
      <c r="F501" s="3"/>
      <c r="H501" s="1"/>
    </row>
    <row r="502" spans="6:8" x14ac:dyDescent="0.25">
      <c r="F502" s="3"/>
      <c r="H502" s="1"/>
    </row>
    <row r="503" spans="6:8" x14ac:dyDescent="0.25">
      <c r="F503" s="3"/>
      <c r="H503" s="1"/>
    </row>
    <row r="504" spans="6:8" x14ac:dyDescent="0.25">
      <c r="F504" s="3"/>
      <c r="H504" s="1"/>
    </row>
    <row r="505" spans="6:8" x14ac:dyDescent="0.25">
      <c r="F505" s="3"/>
      <c r="H505" s="1"/>
    </row>
    <row r="506" spans="6:8" x14ac:dyDescent="0.25">
      <c r="F506" s="3"/>
      <c r="H506" s="1"/>
    </row>
    <row r="507" spans="6:8" x14ac:dyDescent="0.25">
      <c r="F507" s="3"/>
      <c r="H507" s="1"/>
    </row>
    <row r="508" spans="6:8" x14ac:dyDescent="0.25">
      <c r="F508" s="3"/>
      <c r="H508" s="1"/>
    </row>
    <row r="509" spans="6:8" x14ac:dyDescent="0.25">
      <c r="F509" s="3"/>
      <c r="H509" s="1"/>
    </row>
    <row r="510" spans="6:8" x14ac:dyDescent="0.25">
      <c r="F510" s="3"/>
      <c r="H510" s="1"/>
    </row>
    <row r="511" spans="6:8" x14ac:dyDescent="0.25">
      <c r="F511" s="3"/>
      <c r="H511" s="1"/>
    </row>
    <row r="512" spans="6:8" x14ac:dyDescent="0.25">
      <c r="F512" s="3"/>
      <c r="H512" s="1"/>
    </row>
    <row r="513" spans="6:8" x14ac:dyDescent="0.25">
      <c r="F513" s="3"/>
      <c r="H513" s="1"/>
    </row>
    <row r="514" spans="6:8" x14ac:dyDescent="0.25">
      <c r="F514" s="3"/>
      <c r="H514" s="1"/>
    </row>
    <row r="515" spans="6:8" x14ac:dyDescent="0.25">
      <c r="F515" s="3"/>
      <c r="H515" s="1"/>
    </row>
    <row r="516" spans="6:8" x14ac:dyDescent="0.25">
      <c r="F516" s="3"/>
      <c r="H516" s="1"/>
    </row>
    <row r="517" spans="6:8" x14ac:dyDescent="0.25">
      <c r="F517" s="3"/>
      <c r="H517" s="1"/>
    </row>
    <row r="518" spans="6:8" x14ac:dyDescent="0.25">
      <c r="F518" s="3"/>
      <c r="H518" s="1"/>
    </row>
    <row r="519" spans="6:8" x14ac:dyDescent="0.25">
      <c r="F519" s="3"/>
      <c r="H519" s="1"/>
    </row>
    <row r="520" spans="6:8" x14ac:dyDescent="0.25">
      <c r="F520" s="3"/>
      <c r="H520" s="1"/>
    </row>
    <row r="521" spans="6:8" x14ac:dyDescent="0.25">
      <c r="F521" s="3"/>
      <c r="H521" s="1"/>
    </row>
    <row r="522" spans="6:8" x14ac:dyDescent="0.25">
      <c r="F522" s="3"/>
      <c r="H522" s="1"/>
    </row>
    <row r="523" spans="6:8" x14ac:dyDescent="0.25">
      <c r="F523" s="3"/>
      <c r="H523" s="1"/>
    </row>
    <row r="524" spans="6:8" x14ac:dyDescent="0.25">
      <c r="F524" s="3"/>
      <c r="H524" s="1"/>
    </row>
    <row r="525" spans="6:8" x14ac:dyDescent="0.25">
      <c r="F525" s="3"/>
      <c r="H525" s="1"/>
    </row>
    <row r="526" spans="6:8" x14ac:dyDescent="0.25">
      <c r="F526" s="3"/>
      <c r="H526" s="1"/>
    </row>
    <row r="527" spans="6:8" x14ac:dyDescent="0.25">
      <c r="F527" s="3"/>
      <c r="H527" s="1"/>
    </row>
    <row r="528" spans="6:8" x14ac:dyDescent="0.25">
      <c r="F528" s="3"/>
      <c r="H528" s="1"/>
    </row>
    <row r="529" spans="6:8" x14ac:dyDescent="0.25">
      <c r="F529" s="3"/>
      <c r="H529" s="1"/>
    </row>
    <row r="530" spans="6:8" x14ac:dyDescent="0.25">
      <c r="F530" s="3"/>
      <c r="H530" s="1"/>
    </row>
    <row r="531" spans="6:8" x14ac:dyDescent="0.25">
      <c r="F531" s="3"/>
      <c r="H531" s="1"/>
    </row>
    <row r="532" spans="6:8" x14ac:dyDescent="0.25">
      <c r="F532" s="3"/>
      <c r="H532" s="1"/>
    </row>
    <row r="533" spans="6:8" x14ac:dyDescent="0.25">
      <c r="F533" s="3"/>
      <c r="H533" s="1"/>
    </row>
    <row r="534" spans="6:8" x14ac:dyDescent="0.25">
      <c r="F534" s="3"/>
      <c r="H534" s="1"/>
    </row>
    <row r="535" spans="6:8" x14ac:dyDescent="0.25">
      <c r="F535" s="3"/>
      <c r="H535" s="1"/>
    </row>
    <row r="536" spans="6:8" x14ac:dyDescent="0.25">
      <c r="F536" s="3"/>
      <c r="H536" s="1"/>
    </row>
    <row r="537" spans="6:8" x14ac:dyDescent="0.25">
      <c r="F537" s="3"/>
      <c r="H537" s="1"/>
    </row>
    <row r="538" spans="6:8" x14ac:dyDescent="0.25">
      <c r="F538" s="3"/>
      <c r="H538" s="1"/>
    </row>
    <row r="539" spans="6:8" x14ac:dyDescent="0.25">
      <c r="F539" s="3"/>
      <c r="H539" s="1"/>
    </row>
    <row r="540" spans="6:8" x14ac:dyDescent="0.25">
      <c r="F540" s="3"/>
      <c r="H540" s="1"/>
    </row>
    <row r="541" spans="6:8" x14ac:dyDescent="0.25">
      <c r="F541" s="3"/>
      <c r="H541" s="1"/>
    </row>
    <row r="542" spans="6:8" x14ac:dyDescent="0.25">
      <c r="F542" s="3"/>
      <c r="H542" s="1"/>
    </row>
    <row r="543" spans="6:8" x14ac:dyDescent="0.25">
      <c r="F543" s="3"/>
      <c r="H543" s="1"/>
    </row>
    <row r="544" spans="6:8" x14ac:dyDescent="0.25">
      <c r="F544" s="3"/>
      <c r="H544" s="1"/>
    </row>
    <row r="545" spans="6:8" x14ac:dyDescent="0.25">
      <c r="F545" s="3"/>
      <c r="H545" s="1"/>
    </row>
    <row r="546" spans="6:8" x14ac:dyDescent="0.25">
      <c r="F546" s="3"/>
      <c r="H546" s="1"/>
    </row>
    <row r="547" spans="6:8" x14ac:dyDescent="0.25">
      <c r="F547" s="3"/>
      <c r="H547" s="1"/>
    </row>
    <row r="548" spans="6:8" x14ac:dyDescent="0.25">
      <c r="F548" s="3"/>
      <c r="H548" s="1"/>
    </row>
    <row r="549" spans="6:8" x14ac:dyDescent="0.25">
      <c r="F549" s="3"/>
      <c r="H549" s="1"/>
    </row>
    <row r="550" spans="6:8" x14ac:dyDescent="0.25">
      <c r="F550" s="3"/>
      <c r="H550" s="1"/>
    </row>
    <row r="551" spans="6:8" x14ac:dyDescent="0.25">
      <c r="F551" s="3"/>
      <c r="H551" s="1"/>
    </row>
    <row r="552" spans="6:8" x14ac:dyDescent="0.25">
      <c r="F552" s="3"/>
      <c r="H552" s="1"/>
    </row>
    <row r="553" spans="6:8" x14ac:dyDescent="0.25">
      <c r="F553" s="3"/>
      <c r="H553" s="1"/>
    </row>
    <row r="554" spans="6:8" x14ac:dyDescent="0.25">
      <c r="F554" s="3"/>
      <c r="H554" s="1"/>
    </row>
    <row r="555" spans="6:8" x14ac:dyDescent="0.25">
      <c r="F555" s="3"/>
      <c r="H555" s="1"/>
    </row>
    <row r="556" spans="6:8" x14ac:dyDescent="0.25">
      <c r="F556" s="3"/>
      <c r="H556" s="1"/>
    </row>
    <row r="557" spans="6:8" x14ac:dyDescent="0.25">
      <c r="F557" s="3"/>
      <c r="H557" s="1"/>
    </row>
    <row r="558" spans="6:8" x14ac:dyDescent="0.25">
      <c r="F558" s="3"/>
      <c r="H558" s="1"/>
    </row>
    <row r="559" spans="6:8" x14ac:dyDescent="0.25">
      <c r="F559" s="3"/>
      <c r="H559" s="1"/>
    </row>
    <row r="560" spans="6:8" x14ac:dyDescent="0.25">
      <c r="F560" s="3"/>
      <c r="H560" s="1"/>
    </row>
    <row r="561" spans="6:8" x14ac:dyDescent="0.25">
      <c r="F561" s="3"/>
      <c r="H561" s="1"/>
    </row>
    <row r="562" spans="6:8" x14ac:dyDescent="0.25">
      <c r="F562" s="3"/>
      <c r="H562" s="1"/>
    </row>
    <row r="563" spans="6:8" x14ac:dyDescent="0.25">
      <c r="F563" s="3"/>
      <c r="H563" s="1"/>
    </row>
    <row r="564" spans="6:8" x14ac:dyDescent="0.25">
      <c r="F564" s="3"/>
      <c r="H564" s="1"/>
    </row>
    <row r="565" spans="6:8" x14ac:dyDescent="0.25">
      <c r="F565" s="3"/>
      <c r="H565" s="1"/>
    </row>
    <row r="566" spans="6:8" x14ac:dyDescent="0.25">
      <c r="F566" s="3"/>
      <c r="H566" s="1"/>
    </row>
    <row r="567" spans="6:8" x14ac:dyDescent="0.25">
      <c r="F567" s="3"/>
      <c r="H567" s="1"/>
    </row>
    <row r="568" spans="6:8" x14ac:dyDescent="0.25">
      <c r="F568" s="3"/>
      <c r="H568" s="1"/>
    </row>
    <row r="569" spans="6:8" x14ac:dyDescent="0.25">
      <c r="F569" s="3"/>
      <c r="H569" s="1"/>
    </row>
    <row r="570" spans="6:8" x14ac:dyDescent="0.25">
      <c r="F570" s="3"/>
      <c r="H570" s="1"/>
    </row>
    <row r="571" spans="6:8" x14ac:dyDescent="0.25">
      <c r="F571" s="3"/>
      <c r="H571" s="1"/>
    </row>
    <row r="572" spans="6:8" x14ac:dyDescent="0.25">
      <c r="F572" s="3"/>
      <c r="H572" s="1"/>
    </row>
    <row r="573" spans="6:8" x14ac:dyDescent="0.25">
      <c r="F573" s="3"/>
      <c r="H573" s="1"/>
    </row>
    <row r="574" spans="6:8" x14ac:dyDescent="0.25">
      <c r="F574" s="3"/>
      <c r="H574" s="1"/>
    </row>
    <row r="575" spans="6:8" x14ac:dyDescent="0.25">
      <c r="F575" s="3"/>
      <c r="H575" s="1"/>
    </row>
    <row r="576" spans="6:8" x14ac:dyDescent="0.25">
      <c r="F576" s="3"/>
      <c r="H576" s="1"/>
    </row>
    <row r="577" spans="6:8" x14ac:dyDescent="0.25">
      <c r="F577" s="3"/>
      <c r="H577" s="1"/>
    </row>
    <row r="578" spans="6:8" x14ac:dyDescent="0.25">
      <c r="F578" s="3"/>
      <c r="H578" s="1"/>
    </row>
    <row r="579" spans="6:8" x14ac:dyDescent="0.25">
      <c r="F579" s="3"/>
      <c r="H579" s="1"/>
    </row>
    <row r="580" spans="6:8" x14ac:dyDescent="0.25">
      <c r="F580" s="3"/>
      <c r="H580" s="1"/>
    </row>
    <row r="581" spans="6:8" x14ac:dyDescent="0.25">
      <c r="F581" s="3"/>
      <c r="H581" s="1"/>
    </row>
    <row r="582" spans="6:8" x14ac:dyDescent="0.25">
      <c r="F582" s="3"/>
      <c r="H582" s="1"/>
    </row>
    <row r="583" spans="6:8" x14ac:dyDescent="0.25">
      <c r="F583" s="3"/>
      <c r="H583" s="1"/>
    </row>
    <row r="584" spans="6:8" x14ac:dyDescent="0.25">
      <c r="F584" s="3"/>
      <c r="H584" s="1"/>
    </row>
    <row r="585" spans="6:8" x14ac:dyDescent="0.25">
      <c r="F585" s="3"/>
      <c r="H585" s="1"/>
    </row>
    <row r="586" spans="6:8" x14ac:dyDescent="0.25">
      <c r="F586" s="3"/>
      <c r="H586" s="1"/>
    </row>
    <row r="587" spans="6:8" x14ac:dyDescent="0.25">
      <c r="F587" s="3"/>
      <c r="H587" s="1"/>
    </row>
    <row r="588" spans="6:8" x14ac:dyDescent="0.25">
      <c r="F588" s="3"/>
      <c r="H588" s="1"/>
    </row>
    <row r="589" spans="6:8" x14ac:dyDescent="0.25">
      <c r="F589" s="3"/>
      <c r="H589" s="1"/>
    </row>
    <row r="590" spans="6:8" x14ac:dyDescent="0.25">
      <c r="F590" s="3"/>
      <c r="H590" s="1"/>
    </row>
    <row r="591" spans="6:8" x14ac:dyDescent="0.25">
      <c r="F591" s="3"/>
      <c r="H591" s="1"/>
    </row>
    <row r="592" spans="6:8" x14ac:dyDescent="0.25">
      <c r="F592" s="3"/>
      <c r="H592" s="1"/>
    </row>
    <row r="593" spans="6:8" x14ac:dyDescent="0.25">
      <c r="F593" s="3"/>
      <c r="H593" s="1"/>
    </row>
    <row r="594" spans="6:8" x14ac:dyDescent="0.25">
      <c r="F594" s="3"/>
      <c r="H594" s="1"/>
    </row>
    <row r="595" spans="6:8" x14ac:dyDescent="0.25">
      <c r="F595" s="3"/>
      <c r="H595" s="1"/>
    </row>
    <row r="596" spans="6:8" x14ac:dyDescent="0.25">
      <c r="F596" s="3"/>
      <c r="H596" s="1"/>
    </row>
    <row r="597" spans="6:8" x14ac:dyDescent="0.25">
      <c r="F597" s="3"/>
      <c r="H597" s="1"/>
    </row>
    <row r="598" spans="6:8" x14ac:dyDescent="0.25">
      <c r="F598" s="3"/>
      <c r="H598" s="1"/>
    </row>
    <row r="599" spans="6:8" x14ac:dyDescent="0.25">
      <c r="F599" s="3"/>
      <c r="H599" s="1"/>
    </row>
    <row r="600" spans="6:8" x14ac:dyDescent="0.25">
      <c r="F600" s="3"/>
      <c r="H600" s="1"/>
    </row>
    <row r="601" spans="6:8" x14ac:dyDescent="0.25">
      <c r="F601" s="3"/>
      <c r="H601" s="1"/>
    </row>
    <row r="602" spans="6:8" x14ac:dyDescent="0.25">
      <c r="F602" s="3"/>
      <c r="H602" s="1"/>
    </row>
    <row r="603" spans="6:8" x14ac:dyDescent="0.25">
      <c r="F603" s="3"/>
      <c r="H603" s="1"/>
    </row>
    <row r="604" spans="6:8" x14ac:dyDescent="0.25">
      <c r="F604" s="3"/>
      <c r="H604" s="1"/>
    </row>
    <row r="605" spans="6:8" x14ac:dyDescent="0.25">
      <c r="F605" s="3"/>
      <c r="H605" s="1"/>
    </row>
    <row r="606" spans="6:8" x14ac:dyDescent="0.25">
      <c r="F606" s="3"/>
      <c r="H606" s="1"/>
    </row>
    <row r="607" spans="6:8" x14ac:dyDescent="0.25">
      <c r="F607" s="3"/>
      <c r="H607" s="1"/>
    </row>
    <row r="608" spans="6:8" x14ac:dyDescent="0.25">
      <c r="F608" s="3"/>
      <c r="H608" s="1"/>
    </row>
    <row r="609" spans="6:8" x14ac:dyDescent="0.25">
      <c r="F609" s="3"/>
      <c r="H609" s="1"/>
    </row>
    <row r="610" spans="6:8" x14ac:dyDescent="0.25">
      <c r="F610" s="3"/>
      <c r="H610" s="1"/>
    </row>
    <row r="611" spans="6:8" x14ac:dyDescent="0.25">
      <c r="F611" s="3"/>
      <c r="H611" s="1"/>
    </row>
    <row r="612" spans="6:8" x14ac:dyDescent="0.25">
      <c r="F612" s="3"/>
      <c r="H612" s="1"/>
    </row>
    <row r="613" spans="6:8" x14ac:dyDescent="0.25">
      <c r="F613" s="3"/>
      <c r="H613" s="1"/>
    </row>
    <row r="614" spans="6:8" x14ac:dyDescent="0.25">
      <c r="F614" s="3"/>
      <c r="H614" s="1"/>
    </row>
    <row r="615" spans="6:8" x14ac:dyDescent="0.25">
      <c r="F615" s="3"/>
      <c r="H615" s="1"/>
    </row>
    <row r="616" spans="6:8" x14ac:dyDescent="0.25">
      <c r="F616" s="3"/>
      <c r="H616" s="1"/>
    </row>
    <row r="617" spans="6:8" x14ac:dyDescent="0.25">
      <c r="F617" s="3"/>
      <c r="H617" s="1"/>
    </row>
    <row r="618" spans="6:8" x14ac:dyDescent="0.25">
      <c r="F618" s="3"/>
      <c r="H618" s="1"/>
    </row>
    <row r="619" spans="6:8" x14ac:dyDescent="0.25">
      <c r="F619" s="3"/>
      <c r="H619" s="1"/>
    </row>
    <row r="620" spans="6:8" x14ac:dyDescent="0.25">
      <c r="F620" s="3"/>
      <c r="H620" s="1"/>
    </row>
    <row r="621" spans="6:8" x14ac:dyDescent="0.25">
      <c r="F621" s="3"/>
      <c r="H621" s="1"/>
    </row>
    <row r="622" spans="6:8" x14ac:dyDescent="0.25">
      <c r="F622" s="3"/>
      <c r="H622" s="1"/>
    </row>
    <row r="623" spans="6:8" x14ac:dyDescent="0.25">
      <c r="F623" s="3"/>
      <c r="H623" s="1"/>
    </row>
    <row r="624" spans="6:8" x14ac:dyDescent="0.25">
      <c r="F624" s="3"/>
      <c r="H624" s="1"/>
    </row>
    <row r="625" spans="6:8" x14ac:dyDescent="0.25">
      <c r="F625" s="3"/>
      <c r="H625" s="1"/>
    </row>
    <row r="626" spans="6:8" x14ac:dyDescent="0.25">
      <c r="F626" s="3"/>
      <c r="H626" s="1"/>
    </row>
    <row r="627" spans="6:8" x14ac:dyDescent="0.25">
      <c r="F627" s="3"/>
      <c r="H627" s="1"/>
    </row>
    <row r="628" spans="6:8" x14ac:dyDescent="0.25">
      <c r="F628" s="3"/>
      <c r="H628" s="1"/>
    </row>
    <row r="629" spans="6:8" x14ac:dyDescent="0.25">
      <c r="F629" s="3"/>
      <c r="H629" s="1"/>
    </row>
    <row r="630" spans="6:8" x14ac:dyDescent="0.25">
      <c r="F630" s="3"/>
      <c r="H630" s="1"/>
    </row>
    <row r="631" spans="6:8" x14ac:dyDescent="0.25">
      <c r="F631" s="3"/>
      <c r="H631" s="1"/>
    </row>
    <row r="632" spans="6:8" x14ac:dyDescent="0.25">
      <c r="F632" s="3"/>
      <c r="H632" s="1"/>
    </row>
    <row r="633" spans="6:8" x14ac:dyDescent="0.25">
      <c r="F633" s="3"/>
      <c r="H633" s="1"/>
    </row>
    <row r="634" spans="6:8" x14ac:dyDescent="0.25">
      <c r="F634" s="3"/>
      <c r="H634" s="1"/>
    </row>
    <row r="635" spans="6:8" x14ac:dyDescent="0.25">
      <c r="F635" s="3"/>
      <c r="H635" s="1"/>
    </row>
    <row r="636" spans="6:8" x14ac:dyDescent="0.25">
      <c r="F636" s="3"/>
      <c r="H636" s="1"/>
    </row>
    <row r="637" spans="6:8" x14ac:dyDescent="0.25">
      <c r="F637" s="3"/>
      <c r="H637" s="1"/>
    </row>
    <row r="638" spans="6:8" x14ac:dyDescent="0.25">
      <c r="F638" s="3"/>
      <c r="H638" s="1"/>
    </row>
    <row r="639" spans="6:8" x14ac:dyDescent="0.25">
      <c r="F639" s="3"/>
      <c r="H639" s="1"/>
    </row>
    <row r="640" spans="6:8" x14ac:dyDescent="0.25">
      <c r="F640" s="3"/>
      <c r="H640" s="1"/>
    </row>
    <row r="641" spans="6:8" x14ac:dyDescent="0.25">
      <c r="F641" s="3"/>
      <c r="H641" s="1"/>
    </row>
    <row r="642" spans="6:8" x14ac:dyDescent="0.25">
      <c r="F642" s="3"/>
      <c r="H642" s="1"/>
    </row>
    <row r="643" spans="6:8" x14ac:dyDescent="0.25">
      <c r="F643" s="3"/>
      <c r="H643" s="1"/>
    </row>
    <row r="644" spans="6:8" x14ac:dyDescent="0.25">
      <c r="F644" s="3"/>
      <c r="H644" s="1"/>
    </row>
    <row r="645" spans="6:8" x14ac:dyDescent="0.25">
      <c r="F645" s="3"/>
      <c r="H645" s="1"/>
    </row>
    <row r="646" spans="6:8" x14ac:dyDescent="0.25">
      <c r="F646" s="3"/>
      <c r="H646" s="1"/>
    </row>
    <row r="647" spans="6:8" x14ac:dyDescent="0.25">
      <c r="F647" s="3"/>
      <c r="H647" s="1"/>
    </row>
    <row r="648" spans="6:8" x14ac:dyDescent="0.25">
      <c r="F648" s="3"/>
      <c r="H648" s="1"/>
    </row>
    <row r="649" spans="6:8" x14ac:dyDescent="0.25">
      <c r="F649" s="3"/>
      <c r="H649" s="1"/>
    </row>
    <row r="650" spans="6:8" x14ac:dyDescent="0.25">
      <c r="F650" s="3"/>
      <c r="H650" s="1"/>
    </row>
    <row r="651" spans="6:8" x14ac:dyDescent="0.25">
      <c r="F651" s="3"/>
      <c r="H651" s="1"/>
    </row>
    <row r="652" spans="6:8" x14ac:dyDescent="0.25">
      <c r="F652" s="3"/>
      <c r="H652" s="1"/>
    </row>
    <row r="653" spans="6:8" x14ac:dyDescent="0.25">
      <c r="F653" s="3"/>
      <c r="H653" s="1"/>
    </row>
    <row r="654" spans="6:8" x14ac:dyDescent="0.25">
      <c r="F654" s="3"/>
      <c r="H654" s="1"/>
    </row>
    <row r="655" spans="6:8" x14ac:dyDescent="0.25">
      <c r="F655" s="3"/>
      <c r="H655" s="1"/>
    </row>
    <row r="656" spans="6:8" x14ac:dyDescent="0.25">
      <c r="F656" s="3"/>
      <c r="H656" s="1"/>
    </row>
    <row r="657" spans="6:8" x14ac:dyDescent="0.25">
      <c r="F657" s="3"/>
      <c r="H657" s="1"/>
    </row>
    <row r="658" spans="6:8" x14ac:dyDescent="0.25">
      <c r="F658" s="3"/>
      <c r="H658" s="1"/>
    </row>
    <row r="659" spans="6:8" x14ac:dyDescent="0.25">
      <c r="F659" s="3"/>
      <c r="H659" s="1"/>
    </row>
    <row r="660" spans="6:8" x14ac:dyDescent="0.25">
      <c r="F660" s="3"/>
      <c r="H660" s="1"/>
    </row>
    <row r="661" spans="6:8" x14ac:dyDescent="0.25">
      <c r="F661" s="3"/>
      <c r="H661" s="1"/>
    </row>
    <row r="662" spans="6:8" x14ac:dyDescent="0.25">
      <c r="F662" s="3"/>
      <c r="H662" s="1"/>
    </row>
    <row r="663" spans="6:8" x14ac:dyDescent="0.25">
      <c r="F663" s="3"/>
      <c r="H663" s="1"/>
    </row>
    <row r="664" spans="6:8" x14ac:dyDescent="0.25">
      <c r="F664" s="3"/>
      <c r="H664" s="1"/>
    </row>
    <row r="665" spans="6:8" x14ac:dyDescent="0.25">
      <c r="F665" s="3"/>
      <c r="H665" s="1"/>
    </row>
    <row r="666" spans="6:8" x14ac:dyDescent="0.25">
      <c r="F666" s="3"/>
      <c r="H666" s="1"/>
    </row>
    <row r="667" spans="6:8" x14ac:dyDescent="0.25">
      <c r="F667" s="3"/>
      <c r="H667" s="1"/>
    </row>
    <row r="668" spans="6:8" x14ac:dyDescent="0.25">
      <c r="F668" s="3"/>
      <c r="H668" s="1"/>
    </row>
    <row r="669" spans="6:8" x14ac:dyDescent="0.25">
      <c r="F669" s="3"/>
      <c r="H669" s="1"/>
    </row>
    <row r="670" spans="6:8" x14ac:dyDescent="0.25">
      <c r="F670" s="3"/>
      <c r="H670" s="1"/>
    </row>
    <row r="671" spans="6:8" x14ac:dyDescent="0.25">
      <c r="F671" s="3"/>
      <c r="H671" s="1"/>
    </row>
    <row r="672" spans="6:8" x14ac:dyDescent="0.25">
      <c r="F672" s="3"/>
      <c r="H672" s="1"/>
    </row>
    <row r="673" spans="6:8" x14ac:dyDescent="0.25">
      <c r="F673" s="3"/>
      <c r="H673" s="1"/>
    </row>
    <row r="674" spans="6:8" x14ac:dyDescent="0.25">
      <c r="F674" s="3"/>
      <c r="H674" s="1"/>
    </row>
    <row r="675" spans="6:8" x14ac:dyDescent="0.25">
      <c r="F675" s="3"/>
      <c r="H675" s="1"/>
    </row>
    <row r="676" spans="6:8" x14ac:dyDescent="0.25">
      <c r="F676" s="3"/>
      <c r="H676" s="1"/>
    </row>
    <row r="677" spans="6:8" x14ac:dyDescent="0.25">
      <c r="F677" s="3"/>
      <c r="H677" s="1"/>
    </row>
    <row r="678" spans="6:8" x14ac:dyDescent="0.25">
      <c r="F678" s="3"/>
      <c r="H678" s="1"/>
    </row>
    <row r="679" spans="6:8" x14ac:dyDescent="0.25">
      <c r="F679" s="3"/>
      <c r="H679" s="1"/>
    </row>
    <row r="680" spans="6:8" x14ac:dyDescent="0.25">
      <c r="F680" s="3"/>
      <c r="H680" s="1"/>
    </row>
    <row r="681" spans="6:8" x14ac:dyDescent="0.25">
      <c r="F681" s="3"/>
      <c r="H681" s="1"/>
    </row>
    <row r="682" spans="6:8" x14ac:dyDescent="0.25">
      <c r="F682" s="3"/>
      <c r="H682" s="1"/>
    </row>
    <row r="683" spans="6:8" x14ac:dyDescent="0.25">
      <c r="F683" s="3"/>
      <c r="H683" s="1"/>
    </row>
    <row r="684" spans="6:8" x14ac:dyDescent="0.25">
      <c r="F684" s="3"/>
      <c r="H684" s="1"/>
    </row>
    <row r="685" spans="6:8" x14ac:dyDescent="0.25">
      <c r="F685" s="3"/>
      <c r="H685" s="1"/>
    </row>
    <row r="686" spans="6:8" x14ac:dyDescent="0.25">
      <c r="F686" s="3"/>
      <c r="H686" s="1"/>
    </row>
    <row r="687" spans="6:8" x14ac:dyDescent="0.25">
      <c r="F687" s="3"/>
      <c r="H687" s="1"/>
    </row>
    <row r="688" spans="6:8" x14ac:dyDescent="0.25">
      <c r="F688" s="3"/>
      <c r="H688" s="1"/>
    </row>
    <row r="689" spans="6:8" x14ac:dyDescent="0.25">
      <c r="F689" s="3"/>
      <c r="H689" s="1"/>
    </row>
    <row r="690" spans="6:8" x14ac:dyDescent="0.25">
      <c r="F690" s="3"/>
      <c r="H690" s="1"/>
    </row>
    <row r="691" spans="6:8" x14ac:dyDescent="0.25">
      <c r="F691" s="3"/>
      <c r="H691" s="1"/>
    </row>
    <row r="692" spans="6:8" x14ac:dyDescent="0.25">
      <c r="F692" s="3"/>
      <c r="H692" s="1"/>
    </row>
    <row r="693" spans="6:8" x14ac:dyDescent="0.25">
      <c r="F693" s="3"/>
      <c r="H693" s="1"/>
    </row>
    <row r="694" spans="6:8" x14ac:dyDescent="0.25">
      <c r="F694" s="3"/>
      <c r="H694" s="1"/>
    </row>
    <row r="695" spans="6:8" x14ac:dyDescent="0.25">
      <c r="F695" s="3"/>
      <c r="H695" s="1"/>
    </row>
    <row r="696" spans="6:8" x14ac:dyDescent="0.25">
      <c r="F696" s="3"/>
      <c r="H696" s="1"/>
    </row>
    <row r="697" spans="6:8" x14ac:dyDescent="0.25">
      <c r="F697" s="3"/>
      <c r="H697" s="1"/>
    </row>
    <row r="698" spans="6:8" x14ac:dyDescent="0.25">
      <c r="F698" s="3"/>
      <c r="H698" s="1"/>
    </row>
    <row r="699" spans="6:8" x14ac:dyDescent="0.25">
      <c r="F699" s="3"/>
      <c r="H699" s="1"/>
    </row>
    <row r="700" spans="6:8" x14ac:dyDescent="0.25">
      <c r="F700" s="3"/>
      <c r="H700" s="1"/>
    </row>
    <row r="701" spans="6:8" x14ac:dyDescent="0.25">
      <c r="F701" s="3"/>
      <c r="H701" s="1"/>
    </row>
    <row r="702" spans="6:8" x14ac:dyDescent="0.25">
      <c r="F702" s="3"/>
      <c r="H702" s="1"/>
    </row>
    <row r="703" spans="6:8" x14ac:dyDescent="0.25">
      <c r="F703" s="3"/>
      <c r="H703" s="1"/>
    </row>
    <row r="704" spans="6:8" x14ac:dyDescent="0.25">
      <c r="F704" s="3"/>
      <c r="H704" s="1"/>
    </row>
    <row r="705" spans="6:8" x14ac:dyDescent="0.25">
      <c r="F705" s="3"/>
      <c r="H705" s="1"/>
    </row>
    <row r="706" spans="6:8" x14ac:dyDescent="0.25">
      <c r="F706" s="3"/>
      <c r="H706" s="1"/>
    </row>
    <row r="707" spans="6:8" x14ac:dyDescent="0.25">
      <c r="F707" s="3"/>
      <c r="H707" s="1"/>
    </row>
    <row r="708" spans="6:8" x14ac:dyDescent="0.25">
      <c r="F708" s="3"/>
      <c r="H708" s="1"/>
    </row>
    <row r="709" spans="6:8" x14ac:dyDescent="0.25">
      <c r="F709" s="3"/>
      <c r="H709" s="1"/>
    </row>
    <row r="710" spans="6:8" x14ac:dyDescent="0.25">
      <c r="F710" s="3"/>
      <c r="H710" s="1"/>
    </row>
    <row r="711" spans="6:8" x14ac:dyDescent="0.25">
      <c r="F711" s="3"/>
      <c r="H711" s="1"/>
    </row>
    <row r="712" spans="6:8" x14ac:dyDescent="0.25">
      <c r="F712" s="3"/>
      <c r="H712" s="1"/>
    </row>
    <row r="713" spans="6:8" x14ac:dyDescent="0.25">
      <c r="F713" s="3"/>
      <c r="H713" s="1"/>
    </row>
    <row r="714" spans="6:8" x14ac:dyDescent="0.25">
      <c r="F714" s="3"/>
      <c r="H714" s="1"/>
    </row>
    <row r="715" spans="6:8" x14ac:dyDescent="0.25">
      <c r="F715" s="3"/>
      <c r="H715" s="1"/>
    </row>
    <row r="716" spans="6:8" x14ac:dyDescent="0.25">
      <c r="F716" s="3"/>
      <c r="H716" s="1"/>
    </row>
    <row r="717" spans="6:8" x14ac:dyDescent="0.25">
      <c r="F717" s="3"/>
      <c r="H717" s="1"/>
    </row>
    <row r="718" spans="6:8" x14ac:dyDescent="0.25">
      <c r="F718" s="3"/>
      <c r="H718" s="1"/>
    </row>
    <row r="719" spans="6:8" x14ac:dyDescent="0.25">
      <c r="F719" s="3"/>
      <c r="H719" s="1"/>
    </row>
    <row r="720" spans="6:8" x14ac:dyDescent="0.25">
      <c r="F720" s="3"/>
      <c r="H720" s="1"/>
    </row>
    <row r="721" spans="6:8" x14ac:dyDescent="0.25">
      <c r="F721" s="3"/>
      <c r="H721" s="1"/>
    </row>
    <row r="722" spans="6:8" x14ac:dyDescent="0.25">
      <c r="F722" s="3"/>
      <c r="H722" s="1"/>
    </row>
    <row r="723" spans="6:8" x14ac:dyDescent="0.25">
      <c r="F723" s="3"/>
      <c r="H723" s="1"/>
    </row>
    <row r="724" spans="6:8" x14ac:dyDescent="0.25">
      <c r="F724" s="3"/>
      <c r="H724" s="1"/>
    </row>
    <row r="725" spans="6:8" x14ac:dyDescent="0.25">
      <c r="F725" s="3"/>
      <c r="H725" s="1"/>
    </row>
    <row r="726" spans="6:8" x14ac:dyDescent="0.25">
      <c r="F726" s="3"/>
      <c r="H726" s="1"/>
    </row>
    <row r="727" spans="6:8" x14ac:dyDescent="0.25">
      <c r="F727" s="3"/>
      <c r="H727" s="1"/>
    </row>
    <row r="728" spans="6:8" x14ac:dyDescent="0.25">
      <c r="F728" s="3"/>
      <c r="H728" s="1"/>
    </row>
    <row r="729" spans="6:8" x14ac:dyDescent="0.25">
      <c r="F729" s="3"/>
      <c r="H729" s="1"/>
    </row>
    <row r="730" spans="6:8" x14ac:dyDescent="0.25">
      <c r="F730" s="3"/>
      <c r="H730" s="1"/>
    </row>
    <row r="731" spans="6:8" x14ac:dyDescent="0.25">
      <c r="F731" s="3"/>
      <c r="H731" s="1"/>
    </row>
    <row r="732" spans="6:8" x14ac:dyDescent="0.25">
      <c r="F732" s="3"/>
      <c r="H732" s="1"/>
    </row>
    <row r="733" spans="6:8" x14ac:dyDescent="0.25">
      <c r="F733" s="3"/>
      <c r="H733" s="1"/>
    </row>
    <row r="734" spans="6:8" x14ac:dyDescent="0.25">
      <c r="F734" s="3"/>
      <c r="H734" s="1"/>
    </row>
    <row r="735" spans="6:8" x14ac:dyDescent="0.25">
      <c r="F735" s="3"/>
      <c r="H735" s="1"/>
    </row>
    <row r="736" spans="6:8" x14ac:dyDescent="0.25">
      <c r="F736" s="3"/>
      <c r="H736" s="1"/>
    </row>
    <row r="737" spans="6:8" x14ac:dyDescent="0.25">
      <c r="F737" s="3"/>
      <c r="H737" s="1"/>
    </row>
    <row r="738" spans="6:8" x14ac:dyDescent="0.25">
      <c r="F738" s="3"/>
      <c r="H738" s="1"/>
    </row>
    <row r="739" spans="6:8" x14ac:dyDescent="0.25">
      <c r="F739" s="3"/>
      <c r="H739" s="1"/>
    </row>
    <row r="740" spans="6:8" x14ac:dyDescent="0.25">
      <c r="F740" s="3"/>
      <c r="H740" s="1"/>
    </row>
    <row r="741" spans="6:8" x14ac:dyDescent="0.25">
      <c r="F741" s="3"/>
      <c r="H741" s="1"/>
    </row>
    <row r="742" spans="6:8" x14ac:dyDescent="0.25">
      <c r="F742" s="3"/>
      <c r="H742" s="1"/>
    </row>
    <row r="743" spans="6:8" x14ac:dyDescent="0.25">
      <c r="F743" s="3"/>
      <c r="H743" s="1"/>
    </row>
    <row r="744" spans="6:8" x14ac:dyDescent="0.25">
      <c r="F744" s="3"/>
      <c r="H744" s="1"/>
    </row>
    <row r="745" spans="6:8" x14ac:dyDescent="0.25">
      <c r="F745" s="3"/>
      <c r="H745" s="1"/>
    </row>
    <row r="746" spans="6:8" x14ac:dyDescent="0.25">
      <c r="F746" s="3"/>
      <c r="H746" s="1"/>
    </row>
    <row r="747" spans="6:8" x14ac:dyDescent="0.25">
      <c r="F747" s="3"/>
      <c r="H747" s="1"/>
    </row>
    <row r="748" spans="6:8" x14ac:dyDescent="0.25">
      <c r="F748" s="3"/>
      <c r="H748" s="1"/>
    </row>
    <row r="749" spans="6:8" x14ac:dyDescent="0.25">
      <c r="F749" s="3"/>
      <c r="H749" s="1"/>
    </row>
    <row r="750" spans="6:8" x14ac:dyDescent="0.25">
      <c r="F750" s="3"/>
      <c r="H750" s="1"/>
    </row>
    <row r="751" spans="6:8" x14ac:dyDescent="0.25">
      <c r="F751" s="3"/>
      <c r="H751" s="1"/>
    </row>
    <row r="752" spans="6:8" x14ac:dyDescent="0.25">
      <c r="F752" s="3"/>
      <c r="H752" s="1"/>
    </row>
    <row r="753" spans="6:8" x14ac:dyDescent="0.25">
      <c r="F753" s="3"/>
      <c r="H753" s="1"/>
    </row>
    <row r="754" spans="6:8" x14ac:dyDescent="0.25">
      <c r="F754" s="3"/>
      <c r="H754" s="1"/>
    </row>
    <row r="755" spans="6:8" x14ac:dyDescent="0.25">
      <c r="F755" s="3"/>
      <c r="H755" s="1"/>
    </row>
    <row r="756" spans="6:8" x14ac:dyDescent="0.25">
      <c r="F756" s="3"/>
      <c r="H756" s="1"/>
    </row>
    <row r="757" spans="6:8" x14ac:dyDescent="0.25">
      <c r="F757" s="3"/>
      <c r="H757" s="1"/>
    </row>
    <row r="758" spans="6:8" x14ac:dyDescent="0.25">
      <c r="F758" s="3"/>
      <c r="H758" s="1"/>
    </row>
    <row r="759" spans="6:8" x14ac:dyDescent="0.25">
      <c r="F759" s="3"/>
      <c r="H759" s="1"/>
    </row>
    <row r="760" spans="6:8" x14ac:dyDescent="0.25">
      <c r="F760" s="3"/>
      <c r="H760" s="1"/>
    </row>
    <row r="761" spans="6:8" x14ac:dyDescent="0.25">
      <c r="F761" s="3"/>
      <c r="H761" s="1"/>
    </row>
    <row r="762" spans="6:8" x14ac:dyDescent="0.25">
      <c r="F762" s="3"/>
      <c r="H762" s="1"/>
    </row>
    <row r="763" spans="6:8" x14ac:dyDescent="0.25">
      <c r="F763" s="3"/>
      <c r="H763" s="1"/>
    </row>
    <row r="764" spans="6:8" x14ac:dyDescent="0.25">
      <c r="F764" s="3"/>
      <c r="H764" s="1"/>
    </row>
    <row r="765" spans="6:8" x14ac:dyDescent="0.25">
      <c r="F765" s="3"/>
      <c r="H765" s="1"/>
    </row>
    <row r="766" spans="6:8" x14ac:dyDescent="0.25">
      <c r="F766" s="3"/>
      <c r="H766" s="1"/>
    </row>
    <row r="767" spans="6:8" x14ac:dyDescent="0.25">
      <c r="F767" s="3"/>
      <c r="H767" s="1"/>
    </row>
    <row r="768" spans="6:8" x14ac:dyDescent="0.25">
      <c r="F768" s="3"/>
      <c r="H768" s="1"/>
    </row>
    <row r="769" spans="6:8" x14ac:dyDescent="0.25">
      <c r="F769" s="3"/>
      <c r="H769" s="1"/>
    </row>
    <row r="770" spans="6:8" x14ac:dyDescent="0.25">
      <c r="F770" s="3"/>
      <c r="H770" s="1"/>
    </row>
    <row r="771" spans="6:8" x14ac:dyDescent="0.25">
      <c r="F771" s="3"/>
      <c r="H771" s="1"/>
    </row>
    <row r="772" spans="6:8" x14ac:dyDescent="0.25">
      <c r="F772" s="3"/>
      <c r="H772" s="1"/>
    </row>
    <row r="773" spans="6:8" x14ac:dyDescent="0.25">
      <c r="F773" s="3"/>
      <c r="H773" s="1"/>
    </row>
    <row r="774" spans="6:8" x14ac:dyDescent="0.25">
      <c r="F774" s="3"/>
      <c r="H774" s="1"/>
    </row>
    <row r="775" spans="6:8" x14ac:dyDescent="0.25">
      <c r="F775" s="3"/>
      <c r="H775" s="1"/>
    </row>
    <row r="776" spans="6:8" x14ac:dyDescent="0.25">
      <c r="F776" s="3"/>
      <c r="H776" s="1"/>
    </row>
    <row r="777" spans="6:8" x14ac:dyDescent="0.25">
      <c r="F777" s="3"/>
      <c r="H777" s="1"/>
    </row>
    <row r="778" spans="6:8" x14ac:dyDescent="0.25">
      <c r="F778" s="3"/>
      <c r="H778" s="1"/>
    </row>
    <row r="779" spans="6:8" x14ac:dyDescent="0.25">
      <c r="F779" s="3"/>
      <c r="H779" s="1"/>
    </row>
    <row r="780" spans="6:8" x14ac:dyDescent="0.25">
      <c r="F780" s="3"/>
      <c r="H780" s="1"/>
    </row>
    <row r="781" spans="6:8" x14ac:dyDescent="0.25">
      <c r="F781" s="3"/>
      <c r="H781" s="1"/>
    </row>
    <row r="782" spans="6:8" x14ac:dyDescent="0.25">
      <c r="F782" s="3"/>
      <c r="H782" s="1"/>
    </row>
    <row r="783" spans="6:8" x14ac:dyDescent="0.25">
      <c r="F783" s="3"/>
      <c r="H783" s="1"/>
    </row>
    <row r="784" spans="6:8" x14ac:dyDescent="0.25">
      <c r="F784" s="3"/>
      <c r="H784" s="1"/>
    </row>
    <row r="785" spans="6:8" x14ac:dyDescent="0.25">
      <c r="F785" s="3"/>
      <c r="H785" s="1"/>
    </row>
    <row r="786" spans="6:8" x14ac:dyDescent="0.25">
      <c r="F786" s="3"/>
      <c r="H786" s="1"/>
    </row>
    <row r="787" spans="6:8" x14ac:dyDescent="0.25">
      <c r="F787" s="3"/>
      <c r="H787" s="1"/>
    </row>
    <row r="788" spans="6:8" x14ac:dyDescent="0.25">
      <c r="F788" s="3"/>
      <c r="H788" s="1"/>
    </row>
    <row r="789" spans="6:8" x14ac:dyDescent="0.25">
      <c r="F789" s="3"/>
      <c r="H789" s="1"/>
    </row>
    <row r="790" spans="6:8" x14ac:dyDescent="0.25">
      <c r="F790" s="3"/>
      <c r="H790" s="1"/>
    </row>
    <row r="791" spans="6:8" x14ac:dyDescent="0.25">
      <c r="F791" s="3"/>
      <c r="H791" s="1"/>
    </row>
    <row r="792" spans="6:8" x14ac:dyDescent="0.25">
      <c r="F792" s="3"/>
      <c r="H792" s="1"/>
    </row>
    <row r="793" spans="6:8" x14ac:dyDescent="0.25">
      <c r="F793" s="3"/>
      <c r="H793" s="1"/>
    </row>
    <row r="794" spans="6:8" x14ac:dyDescent="0.25">
      <c r="F794" s="3"/>
      <c r="H794" s="1"/>
    </row>
    <row r="795" spans="6:8" x14ac:dyDescent="0.25">
      <c r="F795" s="3"/>
      <c r="H795" s="1"/>
    </row>
    <row r="796" spans="6:8" x14ac:dyDescent="0.25">
      <c r="F796" s="3"/>
      <c r="H796" s="1"/>
    </row>
    <row r="797" spans="6:8" x14ac:dyDescent="0.25">
      <c r="F797" s="3"/>
      <c r="H797" s="1"/>
    </row>
    <row r="798" spans="6:8" x14ac:dyDescent="0.25">
      <c r="F798" s="3"/>
      <c r="H798" s="1"/>
    </row>
    <row r="799" spans="6:8" x14ac:dyDescent="0.25">
      <c r="F799" s="3"/>
      <c r="H799" s="1"/>
    </row>
    <row r="800" spans="6:8" x14ac:dyDescent="0.25">
      <c r="F800" s="3"/>
      <c r="H800" s="1"/>
    </row>
    <row r="801" spans="6:8" x14ac:dyDescent="0.25">
      <c r="F801" s="3"/>
      <c r="H801" s="1"/>
    </row>
    <row r="802" spans="6:8" x14ac:dyDescent="0.25">
      <c r="F802" s="3"/>
      <c r="H802" s="1"/>
    </row>
    <row r="803" spans="6:8" x14ac:dyDescent="0.25">
      <c r="F803" s="3"/>
      <c r="H803" s="1"/>
    </row>
    <row r="804" spans="6:8" x14ac:dyDescent="0.25">
      <c r="F804" s="3"/>
      <c r="H804" s="1"/>
    </row>
    <row r="805" spans="6:8" x14ac:dyDescent="0.25">
      <c r="F805" s="3"/>
      <c r="H805" s="1"/>
    </row>
    <row r="806" spans="6:8" x14ac:dyDescent="0.25">
      <c r="F806" s="3"/>
      <c r="H806" s="1"/>
    </row>
    <row r="807" spans="6:8" x14ac:dyDescent="0.25">
      <c r="F807" s="3"/>
      <c r="H807" s="1"/>
    </row>
    <row r="808" spans="6:8" x14ac:dyDescent="0.25">
      <c r="F808" s="3"/>
      <c r="H808" s="1"/>
    </row>
    <row r="809" spans="6:8" x14ac:dyDescent="0.25">
      <c r="F809" s="3"/>
      <c r="H809" s="1"/>
    </row>
    <row r="810" spans="6:8" x14ac:dyDescent="0.25">
      <c r="F810" s="3"/>
      <c r="H810" s="1"/>
    </row>
    <row r="811" spans="6:8" x14ac:dyDescent="0.25">
      <c r="F811" s="3"/>
      <c r="H811" s="1"/>
    </row>
    <row r="812" spans="6:8" x14ac:dyDescent="0.25">
      <c r="F812" s="3"/>
      <c r="H812" s="1"/>
    </row>
    <row r="813" spans="6:8" x14ac:dyDescent="0.25">
      <c r="F813" s="3"/>
      <c r="H813" s="1"/>
    </row>
    <row r="814" spans="6:8" x14ac:dyDescent="0.25">
      <c r="F814" s="3"/>
      <c r="H814" s="1"/>
    </row>
    <row r="815" spans="6:8" x14ac:dyDescent="0.25">
      <c r="F815" s="3"/>
      <c r="H815" s="1"/>
    </row>
    <row r="816" spans="6:8" x14ac:dyDescent="0.25">
      <c r="F816" s="3"/>
      <c r="H816" s="1"/>
    </row>
    <row r="817" spans="6:8" x14ac:dyDescent="0.25">
      <c r="F817" s="3"/>
      <c r="H817" s="1"/>
    </row>
    <row r="818" spans="6:8" x14ac:dyDescent="0.25">
      <c r="F818" s="3"/>
      <c r="H818" s="1"/>
    </row>
    <row r="819" spans="6:8" x14ac:dyDescent="0.25">
      <c r="F819" s="3"/>
      <c r="H819" s="1"/>
    </row>
    <row r="820" spans="6:8" x14ac:dyDescent="0.25">
      <c r="F820" s="3"/>
      <c r="H820" s="1"/>
    </row>
    <row r="821" spans="6:8" x14ac:dyDescent="0.25">
      <c r="F821" s="3"/>
      <c r="H821" s="1"/>
    </row>
    <row r="822" spans="6:8" x14ac:dyDescent="0.25">
      <c r="F822" s="3"/>
      <c r="H822" s="1"/>
    </row>
    <row r="823" spans="6:8" x14ac:dyDescent="0.25">
      <c r="F823" s="3"/>
      <c r="H823" s="1"/>
    </row>
    <row r="824" spans="6:8" x14ac:dyDescent="0.25">
      <c r="F824" s="3"/>
      <c r="H824" s="1"/>
    </row>
    <row r="825" spans="6:8" x14ac:dyDescent="0.25">
      <c r="F825" s="3"/>
      <c r="H825" s="1"/>
    </row>
    <row r="826" spans="6:8" x14ac:dyDescent="0.25">
      <c r="F826" s="3"/>
      <c r="H826" s="1"/>
    </row>
    <row r="827" spans="6:8" x14ac:dyDescent="0.25">
      <c r="F827" s="3"/>
      <c r="H827" s="1"/>
    </row>
    <row r="828" spans="6:8" x14ac:dyDescent="0.25">
      <c r="F828" s="3"/>
      <c r="H828" s="1"/>
    </row>
    <row r="829" spans="6:8" x14ac:dyDescent="0.25">
      <c r="F829" s="3"/>
      <c r="H829" s="1"/>
    </row>
    <row r="830" spans="6:8" x14ac:dyDescent="0.25">
      <c r="F830" s="3"/>
      <c r="H830" s="1"/>
    </row>
    <row r="831" spans="6:8" x14ac:dyDescent="0.25">
      <c r="F831" s="3"/>
      <c r="H831" s="1"/>
    </row>
    <row r="832" spans="6:8" x14ac:dyDescent="0.25">
      <c r="F832" s="3"/>
      <c r="H832" s="1"/>
    </row>
    <row r="833" spans="6:8" x14ac:dyDescent="0.25">
      <c r="F833" s="3"/>
      <c r="H833" s="1"/>
    </row>
    <row r="834" spans="6:8" x14ac:dyDescent="0.25">
      <c r="F834" s="3"/>
      <c r="H834" s="1"/>
    </row>
    <row r="835" spans="6:8" x14ac:dyDescent="0.25">
      <c r="F835" s="3"/>
      <c r="H835" s="1"/>
    </row>
    <row r="836" spans="6:8" x14ac:dyDescent="0.25">
      <c r="F836" s="3"/>
      <c r="H836" s="1"/>
    </row>
    <row r="837" spans="6:8" x14ac:dyDescent="0.25">
      <c r="F837" s="3"/>
      <c r="H837" s="1"/>
    </row>
    <row r="838" spans="6:8" x14ac:dyDescent="0.25">
      <c r="F838" s="3"/>
      <c r="H838" s="1"/>
    </row>
    <row r="839" spans="6:8" x14ac:dyDescent="0.25">
      <c r="F839" s="3"/>
      <c r="H839" s="1"/>
    </row>
    <row r="840" spans="6:8" x14ac:dyDescent="0.25">
      <c r="F840" s="3"/>
      <c r="H840" s="1"/>
    </row>
    <row r="841" spans="6:8" x14ac:dyDescent="0.25">
      <c r="F841" s="3"/>
      <c r="H841" s="1"/>
    </row>
    <row r="842" spans="6:8" x14ac:dyDescent="0.25">
      <c r="F842" s="3"/>
      <c r="H842" s="1"/>
    </row>
    <row r="843" spans="6:8" x14ac:dyDescent="0.25">
      <c r="F843" s="3"/>
      <c r="H843" s="1"/>
    </row>
    <row r="844" spans="6:8" x14ac:dyDescent="0.25">
      <c r="F844" s="3"/>
      <c r="H844" s="1"/>
    </row>
    <row r="845" spans="6:8" x14ac:dyDescent="0.25">
      <c r="F845" s="3"/>
      <c r="H845" s="1"/>
    </row>
    <row r="846" spans="6:8" x14ac:dyDescent="0.25">
      <c r="F846" s="3"/>
      <c r="H846" s="1"/>
    </row>
    <row r="847" spans="6:8" x14ac:dyDescent="0.25">
      <c r="F847" s="3"/>
      <c r="H847" s="1"/>
    </row>
    <row r="848" spans="6:8" x14ac:dyDescent="0.25">
      <c r="F848" s="3"/>
      <c r="H848" s="1"/>
    </row>
    <row r="849" spans="6:8" x14ac:dyDescent="0.25">
      <c r="F849" s="3"/>
      <c r="H849" s="1"/>
    </row>
    <row r="850" spans="6:8" x14ac:dyDescent="0.25">
      <c r="F850" s="3"/>
      <c r="H850" s="1"/>
    </row>
    <row r="851" spans="6:8" x14ac:dyDescent="0.25">
      <c r="F851" s="3"/>
      <c r="H851" s="1"/>
    </row>
    <row r="852" spans="6:8" x14ac:dyDescent="0.25">
      <c r="F852" s="3"/>
      <c r="H852" s="1"/>
    </row>
    <row r="853" spans="6:8" x14ac:dyDescent="0.25">
      <c r="F853" s="3"/>
      <c r="H853" s="1"/>
    </row>
    <row r="854" spans="6:8" x14ac:dyDescent="0.25">
      <c r="F854" s="3"/>
      <c r="H854" s="1"/>
    </row>
    <row r="855" spans="6:8" x14ac:dyDescent="0.25">
      <c r="F855" s="3"/>
      <c r="H855" s="1"/>
    </row>
    <row r="856" spans="6:8" x14ac:dyDescent="0.25">
      <c r="F856" s="3"/>
      <c r="H856" s="1"/>
    </row>
    <row r="857" spans="6:8" x14ac:dyDescent="0.25">
      <c r="F857" s="3"/>
      <c r="H857" s="1"/>
    </row>
    <row r="858" spans="6:8" x14ac:dyDescent="0.25">
      <c r="F858" s="3"/>
      <c r="H858" s="1"/>
    </row>
    <row r="859" spans="6:8" x14ac:dyDescent="0.25">
      <c r="F859" s="3"/>
      <c r="H859" s="1"/>
    </row>
    <row r="860" spans="6:8" x14ac:dyDescent="0.25">
      <c r="F860" s="3"/>
      <c r="H860" s="1"/>
    </row>
    <row r="861" spans="6:8" x14ac:dyDescent="0.25">
      <c r="F861" s="3"/>
      <c r="H861" s="1"/>
    </row>
    <row r="862" spans="6:8" x14ac:dyDescent="0.25">
      <c r="F862" s="3"/>
      <c r="H862" s="1"/>
    </row>
    <row r="863" spans="6:8" x14ac:dyDescent="0.25">
      <c r="F863" s="3"/>
      <c r="H863" s="1"/>
    </row>
    <row r="864" spans="6:8" x14ac:dyDescent="0.25">
      <c r="F864" s="3"/>
      <c r="H864" s="1"/>
    </row>
    <row r="865" spans="6:8" x14ac:dyDescent="0.25">
      <c r="F865" s="3"/>
      <c r="H865" s="1"/>
    </row>
    <row r="866" spans="6:8" x14ac:dyDescent="0.25">
      <c r="F866" s="3"/>
      <c r="H866" s="1"/>
    </row>
    <row r="867" spans="6:8" x14ac:dyDescent="0.25">
      <c r="F867" s="3"/>
      <c r="H867" s="1"/>
    </row>
    <row r="868" spans="6:8" x14ac:dyDescent="0.25">
      <c r="F868" s="3"/>
      <c r="H868" s="1"/>
    </row>
    <row r="869" spans="6:8" x14ac:dyDescent="0.25">
      <c r="F869" s="3"/>
      <c r="H869" s="1"/>
    </row>
    <row r="870" spans="6:8" x14ac:dyDescent="0.25">
      <c r="F870" s="3"/>
      <c r="H870" s="1"/>
    </row>
    <row r="871" spans="6:8" x14ac:dyDescent="0.25">
      <c r="F871" s="3"/>
      <c r="H871" s="1"/>
    </row>
    <row r="872" spans="6:8" x14ac:dyDescent="0.25">
      <c r="F872" s="3"/>
      <c r="H872" s="1"/>
    </row>
    <row r="873" spans="6:8" x14ac:dyDescent="0.25">
      <c r="F873" s="3"/>
      <c r="H873" s="1"/>
    </row>
    <row r="874" spans="6:8" x14ac:dyDescent="0.25">
      <c r="F874" s="3"/>
      <c r="H874" s="1"/>
    </row>
    <row r="875" spans="6:8" x14ac:dyDescent="0.25">
      <c r="F875" s="3"/>
      <c r="H875" s="1"/>
    </row>
    <row r="876" spans="6:8" x14ac:dyDescent="0.25">
      <c r="F876" s="3"/>
      <c r="H876" s="1"/>
    </row>
    <row r="877" spans="6:8" x14ac:dyDescent="0.25">
      <c r="F877" s="3"/>
      <c r="H877" s="1"/>
    </row>
    <row r="878" spans="6:8" x14ac:dyDescent="0.25">
      <c r="F878" s="3"/>
      <c r="H878" s="1"/>
    </row>
    <row r="879" spans="6:8" x14ac:dyDescent="0.25">
      <c r="F879" s="3"/>
      <c r="H879" s="1"/>
    </row>
    <row r="880" spans="6:8" x14ac:dyDescent="0.25">
      <c r="F880" s="3"/>
      <c r="H880" s="1"/>
    </row>
    <row r="881" spans="6:8" x14ac:dyDescent="0.25">
      <c r="F881" s="3"/>
      <c r="H881" s="1"/>
    </row>
    <row r="882" spans="6:8" x14ac:dyDescent="0.25">
      <c r="F882" s="3"/>
      <c r="H882" s="1"/>
    </row>
    <row r="883" spans="6:8" x14ac:dyDescent="0.25">
      <c r="F883" s="3"/>
      <c r="H883" s="1"/>
    </row>
    <row r="884" spans="6:8" x14ac:dyDescent="0.25">
      <c r="F884" s="3"/>
      <c r="H884" s="1"/>
    </row>
    <row r="885" spans="6:8" x14ac:dyDescent="0.25">
      <c r="F885" s="3"/>
      <c r="H885" s="1"/>
    </row>
    <row r="886" spans="6:8" x14ac:dyDescent="0.25">
      <c r="F886" s="3"/>
      <c r="H886" s="1"/>
    </row>
    <row r="887" spans="6:8" x14ac:dyDescent="0.25">
      <c r="F887" s="3"/>
      <c r="H887" s="1"/>
    </row>
    <row r="888" spans="6:8" x14ac:dyDescent="0.25">
      <c r="F888" s="3"/>
      <c r="H888" s="1"/>
    </row>
    <row r="889" spans="6:8" x14ac:dyDescent="0.25">
      <c r="F889" s="3"/>
      <c r="H889" s="1"/>
    </row>
    <row r="890" spans="6:8" x14ac:dyDescent="0.25">
      <c r="F890" s="3"/>
      <c r="H890" s="1"/>
    </row>
    <row r="891" spans="6:8" x14ac:dyDescent="0.25">
      <c r="F891" s="3"/>
      <c r="H891" s="1"/>
    </row>
    <row r="892" spans="6:8" x14ac:dyDescent="0.25">
      <c r="F892" s="3"/>
      <c r="H892" s="1"/>
    </row>
    <row r="893" spans="6:8" x14ac:dyDescent="0.25">
      <c r="F893" s="3"/>
      <c r="H893" s="1"/>
    </row>
    <row r="894" spans="6:8" x14ac:dyDescent="0.25">
      <c r="F894" s="3"/>
      <c r="H894" s="1"/>
    </row>
    <row r="895" spans="6:8" x14ac:dyDescent="0.25">
      <c r="F895" s="3"/>
      <c r="H895" s="1"/>
    </row>
    <row r="896" spans="6:8" x14ac:dyDescent="0.25">
      <c r="F896" s="3"/>
      <c r="H896" s="1"/>
    </row>
    <row r="897" spans="6:8" x14ac:dyDescent="0.25">
      <c r="F897" s="3"/>
      <c r="H897" s="1"/>
    </row>
    <row r="898" spans="6:8" x14ac:dyDescent="0.25">
      <c r="F898" s="3"/>
      <c r="H898" s="1"/>
    </row>
    <row r="899" spans="6:8" x14ac:dyDescent="0.25">
      <c r="F899" s="3"/>
      <c r="H899" s="1"/>
    </row>
    <row r="900" spans="6:8" x14ac:dyDescent="0.25">
      <c r="F900" s="3"/>
      <c r="H900" s="1"/>
    </row>
    <row r="901" spans="6:8" x14ac:dyDescent="0.25">
      <c r="F901" s="3"/>
      <c r="H901" s="1"/>
    </row>
    <row r="902" spans="6:8" x14ac:dyDescent="0.25">
      <c r="F902" s="3"/>
      <c r="H902" s="1"/>
    </row>
    <row r="903" spans="6:8" x14ac:dyDescent="0.25">
      <c r="F903" s="3"/>
      <c r="H903" s="1"/>
    </row>
    <row r="904" spans="6:8" x14ac:dyDescent="0.25">
      <c r="F904" s="3"/>
      <c r="H904" s="1"/>
    </row>
    <row r="905" spans="6:8" x14ac:dyDescent="0.25">
      <c r="F905" s="3"/>
      <c r="H905" s="1"/>
    </row>
    <row r="906" spans="6:8" x14ac:dyDescent="0.25">
      <c r="F906" s="3"/>
      <c r="H906" s="1"/>
    </row>
    <row r="907" spans="6:8" x14ac:dyDescent="0.25">
      <c r="F907" s="3"/>
      <c r="H907" s="1"/>
    </row>
    <row r="908" spans="6:8" x14ac:dyDescent="0.25">
      <c r="F908" s="3"/>
      <c r="H908" s="1"/>
    </row>
    <row r="909" spans="6:8" x14ac:dyDescent="0.25">
      <c r="F909" s="3"/>
      <c r="H909" s="1"/>
    </row>
    <row r="910" spans="6:8" x14ac:dyDescent="0.25">
      <c r="F910" s="3"/>
      <c r="H910" s="1"/>
    </row>
    <row r="911" spans="6:8" x14ac:dyDescent="0.25">
      <c r="F911" s="3"/>
      <c r="H911" s="1"/>
    </row>
    <row r="912" spans="6:8" x14ac:dyDescent="0.25">
      <c r="F912" s="3"/>
      <c r="H912" s="1"/>
    </row>
    <row r="913" spans="6:8" x14ac:dyDescent="0.25">
      <c r="F913" s="3"/>
      <c r="H913" s="1"/>
    </row>
    <row r="914" spans="6:8" x14ac:dyDescent="0.25">
      <c r="F914" s="3"/>
      <c r="H914" s="1"/>
    </row>
    <row r="915" spans="6:8" x14ac:dyDescent="0.25">
      <c r="F915" s="3"/>
      <c r="H915" s="1"/>
    </row>
    <row r="916" spans="6:8" x14ac:dyDescent="0.25">
      <c r="F916" s="3"/>
      <c r="H916" s="1"/>
    </row>
    <row r="917" spans="6:8" x14ac:dyDescent="0.25">
      <c r="F917" s="3"/>
      <c r="H917" s="1"/>
    </row>
    <row r="918" spans="6:8" x14ac:dyDescent="0.25">
      <c r="F918" s="3"/>
      <c r="H918" s="1"/>
    </row>
    <row r="919" spans="6:8" x14ac:dyDescent="0.25">
      <c r="F919" s="3"/>
      <c r="H919" s="1"/>
    </row>
    <row r="920" spans="6:8" x14ac:dyDescent="0.25">
      <c r="F920" s="3"/>
      <c r="H920" s="1"/>
    </row>
    <row r="921" spans="6:8" x14ac:dyDescent="0.25">
      <c r="F921" s="3"/>
      <c r="H921" s="1"/>
    </row>
    <row r="922" spans="6:8" x14ac:dyDescent="0.25">
      <c r="F922" s="3"/>
      <c r="H922" s="1"/>
    </row>
    <row r="923" spans="6:8" x14ac:dyDescent="0.25">
      <c r="F923" s="3"/>
      <c r="H923" s="1"/>
    </row>
    <row r="924" spans="6:8" x14ac:dyDescent="0.25">
      <c r="F924" s="3"/>
      <c r="H924" s="1"/>
    </row>
    <row r="925" spans="6:8" x14ac:dyDescent="0.25">
      <c r="F925" s="3"/>
      <c r="H925" s="1"/>
    </row>
    <row r="926" spans="6:8" x14ac:dyDescent="0.25">
      <c r="F926" s="3"/>
      <c r="H926" s="1"/>
    </row>
    <row r="927" spans="6:8" x14ac:dyDescent="0.25">
      <c r="F927" s="3"/>
      <c r="H927" s="1"/>
    </row>
    <row r="928" spans="6:8" x14ac:dyDescent="0.25">
      <c r="F928" s="3"/>
      <c r="H928" s="1"/>
    </row>
    <row r="929" spans="6:8" x14ac:dyDescent="0.25">
      <c r="F929" s="3"/>
      <c r="H929" s="1"/>
    </row>
    <row r="930" spans="6:8" x14ac:dyDescent="0.25">
      <c r="F930" s="3"/>
      <c r="H930" s="1"/>
    </row>
    <row r="931" spans="6:8" x14ac:dyDescent="0.25">
      <c r="F931" s="3"/>
      <c r="H931" s="1"/>
    </row>
    <row r="932" spans="6:8" x14ac:dyDescent="0.25">
      <c r="F932" s="3"/>
      <c r="H932" s="1"/>
    </row>
    <row r="933" spans="6:8" x14ac:dyDescent="0.25">
      <c r="F933" s="3"/>
      <c r="H933" s="1"/>
    </row>
    <row r="934" spans="6:8" x14ac:dyDescent="0.25">
      <c r="F934" s="3"/>
      <c r="H934" s="1"/>
    </row>
    <row r="935" spans="6:8" x14ac:dyDescent="0.25">
      <c r="F935" s="3"/>
      <c r="H935" s="1"/>
    </row>
    <row r="936" spans="6:8" x14ac:dyDescent="0.25">
      <c r="F936" s="3"/>
      <c r="H936" s="1"/>
    </row>
    <row r="937" spans="6:8" x14ac:dyDescent="0.25">
      <c r="F937" s="3"/>
      <c r="H937" s="1"/>
    </row>
    <row r="938" spans="6:8" x14ac:dyDescent="0.25">
      <c r="F938" s="3"/>
      <c r="H938" s="1"/>
    </row>
    <row r="939" spans="6:8" x14ac:dyDescent="0.25">
      <c r="F939" s="3"/>
      <c r="H939" s="1"/>
    </row>
    <row r="940" spans="6:8" x14ac:dyDescent="0.25">
      <c r="F940" s="3"/>
      <c r="H940" s="1"/>
    </row>
    <row r="941" spans="6:8" x14ac:dyDescent="0.25">
      <c r="F941" s="3"/>
      <c r="H941" s="1"/>
    </row>
    <row r="942" spans="6:8" x14ac:dyDescent="0.25">
      <c r="F942" s="3"/>
      <c r="H942" s="1"/>
    </row>
    <row r="943" spans="6:8" x14ac:dyDescent="0.25">
      <c r="F943" s="3"/>
      <c r="H943" s="1"/>
    </row>
    <row r="944" spans="6:8" x14ac:dyDescent="0.25">
      <c r="F944" s="3"/>
      <c r="H944" s="1"/>
    </row>
    <row r="945" spans="6:8" x14ac:dyDescent="0.25">
      <c r="F945" s="3"/>
      <c r="H945" s="1"/>
    </row>
    <row r="946" spans="6:8" x14ac:dyDescent="0.25">
      <c r="F946" s="3"/>
      <c r="H946" s="1"/>
    </row>
    <row r="947" spans="6:8" x14ac:dyDescent="0.25">
      <c r="F947" s="3"/>
      <c r="H947" s="1"/>
    </row>
    <row r="948" spans="6:8" x14ac:dyDescent="0.25">
      <c r="F948" s="3"/>
      <c r="H948" s="1"/>
    </row>
    <row r="949" spans="6:8" x14ac:dyDescent="0.25">
      <c r="F949" s="3"/>
      <c r="H949" s="1"/>
    </row>
    <row r="950" spans="6:8" x14ac:dyDescent="0.25">
      <c r="F950" s="3"/>
      <c r="H950" s="1"/>
    </row>
    <row r="951" spans="6:8" x14ac:dyDescent="0.25">
      <c r="F951" s="3"/>
      <c r="H951" s="1"/>
    </row>
    <row r="952" spans="6:8" x14ac:dyDescent="0.25">
      <c r="F952" s="3"/>
      <c r="H952" s="1"/>
    </row>
    <row r="953" spans="6:8" x14ac:dyDescent="0.25">
      <c r="F953" s="3"/>
      <c r="H953" s="1"/>
    </row>
    <row r="954" spans="6:8" x14ac:dyDescent="0.25">
      <c r="F954" s="3"/>
      <c r="H954" s="1"/>
    </row>
    <row r="955" spans="6:8" x14ac:dyDescent="0.25">
      <c r="F955" s="3"/>
      <c r="H955" s="1"/>
    </row>
    <row r="956" spans="6:8" x14ac:dyDescent="0.25">
      <c r="F956" s="3"/>
      <c r="H956" s="1"/>
    </row>
    <row r="957" spans="6:8" x14ac:dyDescent="0.25">
      <c r="F957" s="3"/>
      <c r="H957" s="1"/>
    </row>
    <row r="958" spans="6:8" x14ac:dyDescent="0.25">
      <c r="F958" s="3"/>
      <c r="H958" s="1"/>
    </row>
    <row r="959" spans="6:8" x14ac:dyDescent="0.25">
      <c r="F959" s="3"/>
      <c r="H959" s="1"/>
    </row>
    <row r="960" spans="6:8" x14ac:dyDescent="0.25">
      <c r="F960" s="3"/>
      <c r="H960" s="1"/>
    </row>
    <row r="961" spans="6:8" x14ac:dyDescent="0.25">
      <c r="F961" s="3"/>
      <c r="H961" s="1"/>
    </row>
    <row r="962" spans="6:8" x14ac:dyDescent="0.25">
      <c r="F962" s="3"/>
      <c r="H962" s="1"/>
    </row>
    <row r="963" spans="6:8" x14ac:dyDescent="0.25">
      <c r="F963" s="3"/>
      <c r="H963" s="1"/>
    </row>
    <row r="964" spans="6:8" x14ac:dyDescent="0.25">
      <c r="F964" s="3"/>
      <c r="H964" s="1"/>
    </row>
    <row r="965" spans="6:8" x14ac:dyDescent="0.25">
      <c r="F965" s="3"/>
      <c r="H965" s="1"/>
    </row>
    <row r="966" spans="6:8" x14ac:dyDescent="0.25">
      <c r="F966" s="3"/>
      <c r="H966" s="1"/>
    </row>
    <row r="967" spans="6:8" x14ac:dyDescent="0.25">
      <c r="F967" s="3"/>
      <c r="H967" s="1"/>
    </row>
    <row r="968" spans="6:8" x14ac:dyDescent="0.25">
      <c r="F968" s="3"/>
      <c r="H968" s="1"/>
    </row>
    <row r="969" spans="6:8" x14ac:dyDescent="0.25">
      <c r="F969" s="3"/>
      <c r="H969" s="1"/>
    </row>
    <row r="970" spans="6:8" x14ac:dyDescent="0.25">
      <c r="F970" s="3"/>
      <c r="H970" s="1"/>
    </row>
    <row r="971" spans="6:8" x14ac:dyDescent="0.25">
      <c r="F971" s="3"/>
      <c r="H971" s="1"/>
    </row>
    <row r="972" spans="6:8" x14ac:dyDescent="0.25">
      <c r="F972" s="3"/>
      <c r="H972" s="1"/>
    </row>
    <row r="973" spans="6:8" x14ac:dyDescent="0.25">
      <c r="F973" s="3"/>
      <c r="H973" s="1"/>
    </row>
    <row r="974" spans="6:8" x14ac:dyDescent="0.25">
      <c r="F974" s="3"/>
      <c r="H974" s="1"/>
    </row>
    <row r="975" spans="6:8" x14ac:dyDescent="0.25">
      <c r="F975" s="3"/>
      <c r="H975" s="1"/>
    </row>
    <row r="976" spans="6:8" x14ac:dyDescent="0.25">
      <c r="F976" s="3"/>
      <c r="H976" s="1"/>
    </row>
    <row r="977" spans="6:8" x14ac:dyDescent="0.25">
      <c r="F977" s="3"/>
      <c r="H977" s="1"/>
    </row>
    <row r="978" spans="6:8" x14ac:dyDescent="0.25">
      <c r="F978" s="3"/>
      <c r="H978" s="1"/>
    </row>
    <row r="979" spans="6:8" x14ac:dyDescent="0.25">
      <c r="F979" s="3"/>
      <c r="H979" s="1"/>
    </row>
    <row r="980" spans="6:8" x14ac:dyDescent="0.25">
      <c r="F980" s="3"/>
      <c r="H980" s="1"/>
    </row>
    <row r="981" spans="6:8" x14ac:dyDescent="0.25">
      <c r="F981" s="3"/>
      <c r="H981" s="1"/>
    </row>
    <row r="982" spans="6:8" x14ac:dyDescent="0.25">
      <c r="F982" s="3"/>
      <c r="H982" s="1"/>
    </row>
    <row r="983" spans="6:8" x14ac:dyDescent="0.25">
      <c r="F983" s="3"/>
      <c r="H983" s="1"/>
    </row>
    <row r="984" spans="6:8" x14ac:dyDescent="0.25">
      <c r="F984" s="3"/>
      <c r="H984" s="1"/>
    </row>
    <row r="985" spans="6:8" x14ac:dyDescent="0.25">
      <c r="F985" s="3"/>
      <c r="H985" s="1"/>
    </row>
    <row r="986" spans="6:8" x14ac:dyDescent="0.25">
      <c r="F986" s="3"/>
      <c r="H986" s="1"/>
    </row>
    <row r="987" spans="6:8" x14ac:dyDescent="0.25">
      <c r="F987" s="3"/>
      <c r="H987" s="1"/>
    </row>
    <row r="988" spans="6:8" x14ac:dyDescent="0.25">
      <c r="F988" s="3"/>
      <c r="H988" s="1"/>
    </row>
    <row r="989" spans="6:8" x14ac:dyDescent="0.25">
      <c r="F989" s="3"/>
      <c r="H989" s="1"/>
    </row>
    <row r="990" spans="6:8" x14ac:dyDescent="0.25">
      <c r="F990" s="3"/>
      <c r="H990" s="1"/>
    </row>
    <row r="991" spans="6:8" x14ac:dyDescent="0.25">
      <c r="F991" s="3"/>
      <c r="H991" s="1"/>
    </row>
    <row r="992" spans="6:8" x14ac:dyDescent="0.25">
      <c r="F992" s="3"/>
      <c r="H992" s="1"/>
    </row>
    <row r="993" spans="6:8" x14ac:dyDescent="0.25">
      <c r="F993" s="3"/>
      <c r="H993" s="1"/>
    </row>
    <row r="994" spans="6:8" x14ac:dyDescent="0.25">
      <c r="F994" s="3"/>
      <c r="H994" s="1"/>
    </row>
    <row r="995" spans="6:8" x14ac:dyDescent="0.25">
      <c r="F995" s="3"/>
      <c r="H995" s="1"/>
    </row>
    <row r="996" spans="6:8" x14ac:dyDescent="0.25">
      <c r="F996" s="3"/>
      <c r="H996" s="1"/>
    </row>
    <row r="997" spans="6:8" x14ac:dyDescent="0.25">
      <c r="F997" s="3"/>
      <c r="H997" s="1"/>
    </row>
    <row r="998" spans="6:8" x14ac:dyDescent="0.25">
      <c r="F998" s="3"/>
      <c r="H998" s="1"/>
    </row>
    <row r="999" spans="6:8" x14ac:dyDescent="0.25">
      <c r="F999" s="3"/>
      <c r="H999" s="1"/>
    </row>
    <row r="1000" spans="6:8" x14ac:dyDescent="0.25">
      <c r="F1000" s="3"/>
      <c r="H1000" s="1"/>
    </row>
    <row r="1001" spans="6:8" x14ac:dyDescent="0.25">
      <c r="F1001" s="3"/>
      <c r="H1001" s="1"/>
    </row>
    <row r="1002" spans="6:8" x14ac:dyDescent="0.25">
      <c r="F1002" s="3"/>
      <c r="H1002" s="1"/>
    </row>
    <row r="1003" spans="6:8" x14ac:dyDescent="0.25">
      <c r="F1003" s="3"/>
      <c r="H1003" s="1"/>
    </row>
    <row r="1004" spans="6:8" x14ac:dyDescent="0.25">
      <c r="F1004" s="3"/>
      <c r="H1004" s="1"/>
    </row>
    <row r="1005" spans="6:8" x14ac:dyDescent="0.25">
      <c r="F1005" s="3"/>
      <c r="H1005" s="1"/>
    </row>
    <row r="1006" spans="6:8" x14ac:dyDescent="0.25">
      <c r="F1006" s="3"/>
      <c r="H1006" s="1"/>
    </row>
    <row r="1007" spans="6:8" x14ac:dyDescent="0.25">
      <c r="F1007" s="3"/>
      <c r="H1007" s="1"/>
    </row>
    <row r="1008" spans="6:8" x14ac:dyDescent="0.25">
      <c r="F1008" s="3"/>
      <c r="H1008" s="1"/>
    </row>
    <row r="1009" spans="6:8" x14ac:dyDescent="0.25">
      <c r="F1009" s="3"/>
      <c r="H1009" s="1"/>
    </row>
    <row r="1010" spans="6:8" x14ac:dyDescent="0.25">
      <c r="F1010" s="3"/>
      <c r="H1010" s="1"/>
    </row>
    <row r="1011" spans="6:8" x14ac:dyDescent="0.25">
      <c r="F1011" s="3"/>
      <c r="H1011" s="1"/>
    </row>
    <row r="1012" spans="6:8" x14ac:dyDescent="0.25">
      <c r="F1012" s="3"/>
      <c r="H1012" s="1"/>
    </row>
    <row r="1013" spans="6:8" x14ac:dyDescent="0.25">
      <c r="F1013" s="3"/>
      <c r="H1013" s="1"/>
    </row>
    <row r="1014" spans="6:8" x14ac:dyDescent="0.25">
      <c r="F1014" s="3"/>
      <c r="H1014" s="1"/>
    </row>
    <row r="1015" spans="6:8" x14ac:dyDescent="0.25">
      <c r="F1015" s="3"/>
      <c r="H1015" s="1"/>
    </row>
    <row r="1016" spans="6:8" x14ac:dyDescent="0.25">
      <c r="F1016" s="3"/>
      <c r="H1016" s="1"/>
    </row>
    <row r="1017" spans="6:8" x14ac:dyDescent="0.25">
      <c r="F1017" s="3"/>
      <c r="H1017" s="1"/>
    </row>
    <row r="1018" spans="6:8" x14ac:dyDescent="0.25">
      <c r="F1018" s="3"/>
      <c r="H1018" s="1"/>
    </row>
    <row r="1019" spans="6:8" x14ac:dyDescent="0.25">
      <c r="F1019" s="3"/>
      <c r="H1019" s="1"/>
    </row>
    <row r="1020" spans="6:8" x14ac:dyDescent="0.25">
      <c r="F1020" s="3"/>
      <c r="H1020" s="1"/>
    </row>
    <row r="1021" spans="6:8" x14ac:dyDescent="0.25">
      <c r="F1021" s="3"/>
      <c r="H1021" s="1"/>
    </row>
    <row r="1022" spans="6:8" x14ac:dyDescent="0.25">
      <c r="F1022" s="3"/>
      <c r="H1022" s="1"/>
    </row>
    <row r="1023" spans="6:8" x14ac:dyDescent="0.25">
      <c r="F1023" s="3"/>
      <c r="H1023" s="1"/>
    </row>
    <row r="1024" spans="6:8" x14ac:dyDescent="0.25">
      <c r="F1024" s="3"/>
      <c r="H1024" s="1"/>
    </row>
    <row r="1025" spans="6:8" x14ac:dyDescent="0.25">
      <c r="F1025" s="3"/>
      <c r="H1025" s="1"/>
    </row>
    <row r="1026" spans="6:8" x14ac:dyDescent="0.25">
      <c r="F1026" s="3"/>
      <c r="H1026" s="1"/>
    </row>
    <row r="1027" spans="6:8" x14ac:dyDescent="0.25">
      <c r="F1027" s="3"/>
      <c r="H1027" s="1"/>
    </row>
    <row r="1028" spans="6:8" x14ac:dyDescent="0.25">
      <c r="F1028" s="3"/>
      <c r="H1028" s="1"/>
    </row>
    <row r="1029" spans="6:8" x14ac:dyDescent="0.25">
      <c r="F1029" s="3"/>
      <c r="H1029" s="1"/>
    </row>
    <row r="1030" spans="6:8" x14ac:dyDescent="0.25">
      <c r="F1030" s="3"/>
      <c r="H1030" s="1"/>
    </row>
    <row r="1031" spans="6:8" x14ac:dyDescent="0.25">
      <c r="F1031" s="3"/>
      <c r="H1031" s="1"/>
    </row>
    <row r="1032" spans="6:8" x14ac:dyDescent="0.25">
      <c r="F1032" s="3"/>
      <c r="H1032" s="1"/>
    </row>
    <row r="1033" spans="6:8" x14ac:dyDescent="0.25">
      <c r="F1033" s="3"/>
      <c r="H1033" s="1"/>
    </row>
    <row r="1034" spans="6:8" x14ac:dyDescent="0.25">
      <c r="F1034" s="3"/>
      <c r="H1034" s="1"/>
    </row>
    <row r="1035" spans="6:8" x14ac:dyDescent="0.25">
      <c r="F1035" s="3"/>
      <c r="H1035" s="1"/>
    </row>
    <row r="1036" spans="6:8" x14ac:dyDescent="0.25">
      <c r="F1036" s="3"/>
      <c r="H1036" s="1"/>
    </row>
    <row r="1037" spans="6:8" x14ac:dyDescent="0.25">
      <c r="F1037" s="3"/>
      <c r="H1037" s="1"/>
    </row>
    <row r="1038" spans="6:8" x14ac:dyDescent="0.25">
      <c r="F1038" s="3"/>
      <c r="H1038" s="1"/>
    </row>
    <row r="1039" spans="6:8" x14ac:dyDescent="0.25">
      <c r="F1039" s="3"/>
      <c r="H1039" s="1"/>
    </row>
    <row r="1040" spans="6:8" x14ac:dyDescent="0.25">
      <c r="F1040" s="3"/>
      <c r="H1040" s="1"/>
    </row>
    <row r="1041" spans="6:8" x14ac:dyDescent="0.25">
      <c r="F1041" s="3"/>
      <c r="H1041" s="1"/>
    </row>
    <row r="1042" spans="6:8" x14ac:dyDescent="0.25">
      <c r="F1042" s="3"/>
      <c r="H1042" s="1"/>
    </row>
    <row r="1043" spans="6:8" x14ac:dyDescent="0.25">
      <c r="F1043" s="3"/>
      <c r="H1043" s="1"/>
    </row>
    <row r="1044" spans="6:8" x14ac:dyDescent="0.25">
      <c r="F1044" s="3"/>
      <c r="H1044" s="1"/>
    </row>
    <row r="1045" spans="6:8" x14ac:dyDescent="0.25">
      <c r="F1045" s="3"/>
      <c r="H1045" s="1"/>
    </row>
    <row r="1046" spans="6:8" x14ac:dyDescent="0.25">
      <c r="F1046" s="3"/>
      <c r="H1046" s="1"/>
    </row>
    <row r="1047" spans="6:8" x14ac:dyDescent="0.25">
      <c r="F1047" s="3"/>
      <c r="H1047" s="1"/>
    </row>
    <row r="1048" spans="6:8" x14ac:dyDescent="0.25">
      <c r="F1048" s="3"/>
      <c r="H1048" s="1"/>
    </row>
    <row r="1049" spans="6:8" x14ac:dyDescent="0.25">
      <c r="F1049" s="3"/>
      <c r="H1049" s="1"/>
    </row>
    <row r="1050" spans="6:8" x14ac:dyDescent="0.25">
      <c r="F1050" s="3"/>
      <c r="H1050" s="1"/>
    </row>
    <row r="1051" spans="6:8" x14ac:dyDescent="0.25">
      <c r="F1051" s="3"/>
      <c r="H1051" s="1"/>
    </row>
    <row r="1052" spans="6:8" x14ac:dyDescent="0.25">
      <c r="F1052" s="3"/>
      <c r="H1052" s="1"/>
    </row>
    <row r="1053" spans="6:8" x14ac:dyDescent="0.25">
      <c r="F1053" s="3"/>
      <c r="H1053" s="1"/>
    </row>
    <row r="1054" spans="6:8" x14ac:dyDescent="0.25">
      <c r="F1054" s="3"/>
      <c r="H1054" s="1"/>
    </row>
    <row r="1055" spans="6:8" x14ac:dyDescent="0.25">
      <c r="F1055" s="3"/>
      <c r="H1055" s="1"/>
    </row>
    <row r="1056" spans="6:8" x14ac:dyDescent="0.25">
      <c r="F1056" s="3"/>
      <c r="H1056" s="1"/>
    </row>
    <row r="1057" spans="6:8" x14ac:dyDescent="0.25">
      <c r="F1057" s="3"/>
      <c r="H1057" s="1"/>
    </row>
    <row r="1058" spans="6:8" x14ac:dyDescent="0.25">
      <c r="F1058" s="3"/>
      <c r="H1058" s="1"/>
    </row>
    <row r="1059" spans="6:8" x14ac:dyDescent="0.25">
      <c r="F1059" s="3"/>
      <c r="H1059" s="1"/>
    </row>
    <row r="1060" spans="6:8" x14ac:dyDescent="0.25">
      <c r="F1060" s="3"/>
      <c r="H1060" s="1"/>
    </row>
    <row r="1061" spans="6:8" x14ac:dyDescent="0.25">
      <c r="F1061" s="3"/>
      <c r="H1061" s="1"/>
    </row>
    <row r="1062" spans="6:8" x14ac:dyDescent="0.25">
      <c r="F1062" s="3"/>
      <c r="H1062" s="1"/>
    </row>
    <row r="1063" spans="6:8" x14ac:dyDescent="0.25">
      <c r="F1063" s="3"/>
      <c r="H1063" s="1"/>
    </row>
    <row r="1064" spans="6:8" x14ac:dyDescent="0.25">
      <c r="F1064" s="3"/>
      <c r="H1064" s="1"/>
    </row>
    <row r="1065" spans="6:8" x14ac:dyDescent="0.25">
      <c r="F1065" s="3"/>
      <c r="H1065" s="1"/>
    </row>
    <row r="1066" spans="6:8" x14ac:dyDescent="0.25">
      <c r="F1066" s="3"/>
      <c r="H1066" s="1"/>
    </row>
    <row r="1067" spans="6:8" x14ac:dyDescent="0.25">
      <c r="F1067" s="3"/>
      <c r="H1067" s="1"/>
    </row>
    <row r="1068" spans="6:8" x14ac:dyDescent="0.25">
      <c r="F1068" s="3"/>
      <c r="H1068" s="1"/>
    </row>
    <row r="1069" spans="6:8" x14ac:dyDescent="0.25">
      <c r="F1069" s="3"/>
      <c r="H1069" s="1"/>
    </row>
    <row r="1070" spans="6:8" x14ac:dyDescent="0.25">
      <c r="F1070" s="3"/>
      <c r="H1070" s="1"/>
    </row>
    <row r="1071" spans="6:8" x14ac:dyDescent="0.25">
      <c r="F1071" s="3"/>
      <c r="H1071" s="1"/>
    </row>
    <row r="1072" spans="6:8" x14ac:dyDescent="0.25">
      <c r="F1072" s="3"/>
      <c r="H1072" s="1"/>
    </row>
    <row r="1073" spans="6:8" x14ac:dyDescent="0.25">
      <c r="F1073" s="3"/>
      <c r="H1073" s="1"/>
    </row>
    <row r="1074" spans="6:8" x14ac:dyDescent="0.25">
      <c r="F1074" s="3"/>
      <c r="H1074" s="1"/>
    </row>
    <row r="1075" spans="6:8" x14ac:dyDescent="0.25">
      <c r="F1075" s="3"/>
      <c r="H1075" s="1"/>
    </row>
    <row r="1076" spans="6:8" x14ac:dyDescent="0.25">
      <c r="F1076" s="3"/>
      <c r="H1076" s="1"/>
    </row>
    <row r="1077" spans="6:8" x14ac:dyDescent="0.25">
      <c r="F1077" s="3"/>
      <c r="H1077" s="1"/>
    </row>
    <row r="1078" spans="6:8" x14ac:dyDescent="0.25">
      <c r="F1078" s="3"/>
      <c r="H1078" s="1"/>
    </row>
    <row r="1079" spans="6:8" x14ac:dyDescent="0.25">
      <c r="F1079" s="3"/>
      <c r="H1079" s="1"/>
    </row>
    <row r="1080" spans="6:8" x14ac:dyDescent="0.25">
      <c r="F1080" s="3"/>
      <c r="H1080" s="1"/>
    </row>
    <row r="1081" spans="6:8" x14ac:dyDescent="0.25">
      <c r="F1081" s="3"/>
      <c r="H1081" s="1"/>
    </row>
    <row r="1082" spans="6:8" x14ac:dyDescent="0.25">
      <c r="F1082" s="3"/>
      <c r="H1082" s="1"/>
    </row>
    <row r="1083" spans="6:8" x14ac:dyDescent="0.25">
      <c r="F1083" s="3"/>
      <c r="H1083" s="1"/>
    </row>
    <row r="1084" spans="6:8" x14ac:dyDescent="0.25">
      <c r="F1084" s="3"/>
      <c r="H1084" s="1"/>
    </row>
    <row r="1085" spans="6:8" x14ac:dyDescent="0.25">
      <c r="F1085" s="3"/>
      <c r="H1085" s="1"/>
    </row>
    <row r="1086" spans="6:8" x14ac:dyDescent="0.25">
      <c r="F1086" s="3"/>
      <c r="H1086" s="1"/>
    </row>
    <row r="1087" spans="6:8" x14ac:dyDescent="0.25">
      <c r="F1087" s="3"/>
      <c r="H1087" s="1"/>
    </row>
    <row r="1088" spans="6:8" x14ac:dyDescent="0.25">
      <c r="F1088" s="3"/>
      <c r="H1088" s="1"/>
    </row>
    <row r="1089" spans="6:8" x14ac:dyDescent="0.25">
      <c r="F1089" s="3"/>
      <c r="H1089" s="1"/>
    </row>
    <row r="1090" spans="6:8" x14ac:dyDescent="0.25">
      <c r="F1090" s="3"/>
      <c r="H1090" s="1"/>
    </row>
    <row r="1091" spans="6:8" x14ac:dyDescent="0.25">
      <c r="F1091" s="3"/>
      <c r="H1091" s="1"/>
    </row>
    <row r="1092" spans="6:8" x14ac:dyDescent="0.25">
      <c r="F1092" s="3"/>
      <c r="H1092" s="1"/>
    </row>
    <row r="1093" spans="6:8" x14ac:dyDescent="0.25">
      <c r="F1093" s="3"/>
      <c r="H1093" s="1"/>
    </row>
    <row r="1094" spans="6:8" x14ac:dyDescent="0.25">
      <c r="F1094" s="3"/>
      <c r="H1094" s="1"/>
    </row>
    <row r="1095" spans="6:8" x14ac:dyDescent="0.25">
      <c r="F1095" s="3"/>
      <c r="H1095" s="1"/>
    </row>
    <row r="1096" spans="6:8" x14ac:dyDescent="0.25">
      <c r="F1096" s="3"/>
      <c r="H1096" s="1"/>
    </row>
    <row r="1097" spans="6:8" x14ac:dyDescent="0.25">
      <c r="F1097" s="3"/>
      <c r="H1097" s="1"/>
    </row>
    <row r="1098" spans="6:8" x14ac:dyDescent="0.25">
      <c r="F1098" s="3"/>
      <c r="H1098" s="1"/>
    </row>
    <row r="1099" spans="6:8" x14ac:dyDescent="0.25">
      <c r="F1099" s="3"/>
      <c r="H1099" s="1"/>
    </row>
    <row r="1100" spans="6:8" x14ac:dyDescent="0.25">
      <c r="F1100" s="3"/>
      <c r="H1100" s="1"/>
    </row>
    <row r="1101" spans="6:8" x14ac:dyDescent="0.25">
      <c r="F1101" s="3"/>
      <c r="H1101" s="1"/>
    </row>
    <row r="1102" spans="6:8" x14ac:dyDescent="0.25">
      <c r="F1102" s="3"/>
      <c r="H1102" s="1"/>
    </row>
    <row r="1103" spans="6:8" x14ac:dyDescent="0.25">
      <c r="F1103" s="3"/>
      <c r="H1103" s="1"/>
    </row>
    <row r="1104" spans="6:8" x14ac:dyDescent="0.25">
      <c r="F1104" s="3"/>
      <c r="H1104" s="1"/>
    </row>
    <row r="1105" spans="6:8" x14ac:dyDescent="0.25">
      <c r="F1105" s="3"/>
      <c r="H1105" s="1"/>
    </row>
    <row r="1106" spans="6:8" x14ac:dyDescent="0.25">
      <c r="F1106" s="3"/>
      <c r="H1106" s="1"/>
    </row>
    <row r="1107" spans="6:8" x14ac:dyDescent="0.25">
      <c r="F1107" s="3"/>
      <c r="H1107" s="1"/>
    </row>
    <row r="1108" spans="6:8" x14ac:dyDescent="0.25">
      <c r="F1108" s="3"/>
      <c r="H1108" s="1"/>
    </row>
    <row r="1109" spans="6:8" x14ac:dyDescent="0.25">
      <c r="F1109" s="3"/>
      <c r="H1109" s="1"/>
    </row>
    <row r="1110" spans="6:8" x14ac:dyDescent="0.25">
      <c r="F1110" s="3"/>
      <c r="H1110" s="1"/>
    </row>
    <row r="1111" spans="6:8" x14ac:dyDescent="0.25">
      <c r="F1111" s="3"/>
      <c r="H1111" s="1"/>
    </row>
    <row r="1112" spans="6:8" x14ac:dyDescent="0.25">
      <c r="F1112" s="3"/>
      <c r="H1112" s="1"/>
    </row>
    <row r="1113" spans="6:8" x14ac:dyDescent="0.25">
      <c r="F1113" s="3"/>
      <c r="H1113" s="1"/>
    </row>
    <row r="1114" spans="6:8" x14ac:dyDescent="0.25">
      <c r="F1114" s="3"/>
      <c r="H1114" s="1"/>
    </row>
    <row r="1115" spans="6:8" x14ac:dyDescent="0.25">
      <c r="F1115" s="3"/>
      <c r="H1115" s="1"/>
    </row>
    <row r="1116" spans="6:8" x14ac:dyDescent="0.25">
      <c r="F1116" s="3"/>
      <c r="H1116" s="1"/>
    </row>
    <row r="1117" spans="6:8" x14ac:dyDescent="0.25">
      <c r="F1117" s="3"/>
      <c r="H1117" s="1"/>
    </row>
    <row r="1118" spans="6:8" x14ac:dyDescent="0.25">
      <c r="F1118" s="3"/>
      <c r="H1118" s="1"/>
    </row>
    <row r="1119" spans="6:8" x14ac:dyDescent="0.25">
      <c r="F1119" s="3"/>
      <c r="H1119" s="1"/>
    </row>
    <row r="1120" spans="6:8" x14ac:dyDescent="0.25">
      <c r="F1120" s="3"/>
      <c r="H1120" s="1"/>
    </row>
    <row r="1121" spans="6:8" x14ac:dyDescent="0.25">
      <c r="F1121" s="3"/>
      <c r="H1121" s="1"/>
    </row>
    <row r="1122" spans="6:8" x14ac:dyDescent="0.25">
      <c r="F1122" s="3"/>
      <c r="H1122" s="1"/>
    </row>
    <row r="1123" spans="6:8" x14ac:dyDescent="0.25">
      <c r="F1123" s="3"/>
      <c r="H1123" s="1"/>
    </row>
    <row r="1124" spans="6:8" x14ac:dyDescent="0.25">
      <c r="F1124" s="3"/>
      <c r="H1124" s="1"/>
    </row>
    <row r="1125" spans="6:8" x14ac:dyDescent="0.25">
      <c r="F1125" s="3"/>
      <c r="H1125" s="1"/>
    </row>
    <row r="1126" spans="6:8" x14ac:dyDescent="0.25">
      <c r="F1126" s="3"/>
      <c r="H1126" s="1"/>
    </row>
    <row r="1127" spans="6:8" x14ac:dyDescent="0.25">
      <c r="F1127" s="3"/>
      <c r="H1127" s="1"/>
    </row>
    <row r="1128" spans="6:8" x14ac:dyDescent="0.25">
      <c r="F1128" s="3"/>
      <c r="H1128" s="1"/>
    </row>
    <row r="1129" spans="6:8" x14ac:dyDescent="0.25">
      <c r="F1129" s="3"/>
      <c r="H1129" s="1"/>
    </row>
    <row r="1130" spans="6:8" x14ac:dyDescent="0.25">
      <c r="F1130" s="3"/>
      <c r="H1130" s="1"/>
    </row>
    <row r="1131" spans="6:8" x14ac:dyDescent="0.25">
      <c r="F1131" s="3"/>
      <c r="H1131" s="1"/>
    </row>
    <row r="1132" spans="6:8" x14ac:dyDescent="0.25">
      <c r="F1132" s="3"/>
      <c r="H1132" s="1"/>
    </row>
    <row r="1133" spans="6:8" x14ac:dyDescent="0.25">
      <c r="F1133" s="3"/>
      <c r="H1133" s="1"/>
    </row>
    <row r="1134" spans="6:8" x14ac:dyDescent="0.25">
      <c r="F1134" s="3"/>
      <c r="H1134" s="1"/>
    </row>
    <row r="1135" spans="6:8" x14ac:dyDescent="0.25">
      <c r="F1135" s="3"/>
      <c r="H1135" s="1"/>
    </row>
    <row r="1136" spans="6:8" x14ac:dyDescent="0.25">
      <c r="F1136" s="3"/>
      <c r="H1136" s="1"/>
    </row>
    <row r="1137" spans="6:8" x14ac:dyDescent="0.25">
      <c r="F1137" s="3"/>
      <c r="H1137" s="1"/>
    </row>
    <row r="1138" spans="6:8" x14ac:dyDescent="0.25">
      <c r="F1138" s="3"/>
      <c r="H1138" s="1"/>
    </row>
    <row r="1139" spans="6:8" x14ac:dyDescent="0.25">
      <c r="F1139" s="3"/>
      <c r="H1139" s="1"/>
    </row>
    <row r="1140" spans="6:8" x14ac:dyDescent="0.25">
      <c r="F1140" s="3"/>
      <c r="H1140" s="1"/>
    </row>
    <row r="1141" spans="6:8" x14ac:dyDescent="0.25">
      <c r="F1141" s="3"/>
      <c r="H1141" s="1"/>
    </row>
    <row r="1142" spans="6:8" x14ac:dyDescent="0.25">
      <c r="F1142" s="3"/>
      <c r="H1142" s="1"/>
    </row>
    <row r="1143" spans="6:8" x14ac:dyDescent="0.25">
      <c r="F1143" s="3"/>
      <c r="H1143" s="1"/>
    </row>
    <row r="1144" spans="6:8" x14ac:dyDescent="0.25">
      <c r="F1144" s="3"/>
      <c r="H1144" s="1"/>
    </row>
    <row r="1145" spans="6:8" x14ac:dyDescent="0.25">
      <c r="F1145" s="3"/>
      <c r="H1145" s="1"/>
    </row>
    <row r="1146" spans="6:8" x14ac:dyDescent="0.25">
      <c r="F1146" s="3"/>
      <c r="H1146" s="1"/>
    </row>
    <row r="1147" spans="6:8" x14ac:dyDescent="0.25">
      <c r="F1147" s="3"/>
      <c r="H1147" s="1"/>
    </row>
    <row r="1148" spans="6:8" x14ac:dyDescent="0.25">
      <c r="F1148" s="3"/>
      <c r="H1148" s="1"/>
    </row>
    <row r="1149" spans="6:8" x14ac:dyDescent="0.25">
      <c r="F1149" s="3"/>
      <c r="H1149" s="1"/>
    </row>
    <row r="1150" spans="6:8" x14ac:dyDescent="0.25">
      <c r="F1150" s="3"/>
      <c r="H1150" s="1"/>
    </row>
    <row r="1151" spans="6:8" x14ac:dyDescent="0.25">
      <c r="F1151" s="3"/>
      <c r="H1151" s="1"/>
    </row>
    <row r="1152" spans="6:8" x14ac:dyDescent="0.25">
      <c r="F1152" s="3"/>
      <c r="H1152" s="1"/>
    </row>
    <row r="1153" spans="6:8" x14ac:dyDescent="0.25">
      <c r="F1153" s="3"/>
      <c r="H1153" s="1"/>
    </row>
    <row r="1154" spans="6:8" x14ac:dyDescent="0.25">
      <c r="F1154" s="3"/>
      <c r="H1154" s="1"/>
    </row>
    <row r="1155" spans="6:8" x14ac:dyDescent="0.25">
      <c r="F1155" s="3"/>
      <c r="H1155" s="1"/>
    </row>
    <row r="1156" spans="6:8" x14ac:dyDescent="0.25">
      <c r="F1156" s="3"/>
      <c r="H1156" s="1"/>
    </row>
    <row r="1157" spans="6:8" x14ac:dyDescent="0.25">
      <c r="F1157" s="3"/>
      <c r="H1157" s="1"/>
    </row>
    <row r="1158" spans="6:8" x14ac:dyDescent="0.25">
      <c r="F1158" s="3"/>
      <c r="H1158" s="1"/>
    </row>
    <row r="1159" spans="6:8" x14ac:dyDescent="0.25">
      <c r="F1159" s="3"/>
      <c r="H1159" s="1"/>
    </row>
    <row r="1160" spans="6:8" x14ac:dyDescent="0.25">
      <c r="F1160" s="3"/>
      <c r="H1160" s="1"/>
    </row>
    <row r="1161" spans="6:8" x14ac:dyDescent="0.25">
      <c r="F1161" s="3"/>
      <c r="H1161" s="1"/>
    </row>
    <row r="1162" spans="6:8" x14ac:dyDescent="0.25">
      <c r="F1162" s="3"/>
      <c r="H1162" s="1"/>
    </row>
    <row r="1163" spans="6:8" x14ac:dyDescent="0.25">
      <c r="F1163" s="3"/>
      <c r="H1163" s="1"/>
    </row>
    <row r="1164" spans="6:8" x14ac:dyDescent="0.25">
      <c r="F1164" s="3"/>
      <c r="H1164" s="1"/>
    </row>
    <row r="1165" spans="6:8" x14ac:dyDescent="0.25">
      <c r="F1165" s="3"/>
      <c r="H1165" s="1"/>
    </row>
    <row r="1166" spans="6:8" x14ac:dyDescent="0.25">
      <c r="F1166" s="3"/>
      <c r="H1166" s="1"/>
    </row>
    <row r="1167" spans="6:8" x14ac:dyDescent="0.25">
      <c r="F1167" s="3"/>
      <c r="H1167" s="1"/>
    </row>
    <row r="1168" spans="6:8" x14ac:dyDescent="0.25">
      <c r="F1168" s="3"/>
      <c r="H1168" s="1"/>
    </row>
    <row r="1169" spans="6:8" x14ac:dyDescent="0.25">
      <c r="F1169" s="3"/>
      <c r="H1169" s="1"/>
    </row>
    <row r="1170" spans="6:8" x14ac:dyDescent="0.25">
      <c r="F1170" s="3"/>
      <c r="H1170" s="1"/>
    </row>
    <row r="1171" spans="6:8" x14ac:dyDescent="0.25">
      <c r="F1171" s="3"/>
      <c r="H1171" s="1"/>
    </row>
    <row r="1172" spans="6:8" x14ac:dyDescent="0.25">
      <c r="F1172" s="3"/>
      <c r="H1172" s="1"/>
    </row>
    <row r="1173" spans="6:8" x14ac:dyDescent="0.25">
      <c r="F1173" s="3"/>
      <c r="H1173" s="1"/>
    </row>
    <row r="1174" spans="6:8" x14ac:dyDescent="0.25">
      <c r="F1174" s="3"/>
      <c r="H1174" s="1"/>
    </row>
    <row r="1175" spans="6:8" x14ac:dyDescent="0.25">
      <c r="F1175" s="3"/>
      <c r="H1175" s="1"/>
    </row>
    <row r="1176" spans="6:8" x14ac:dyDescent="0.25">
      <c r="F1176" s="3"/>
      <c r="H1176" s="1"/>
    </row>
    <row r="1177" spans="6:8" x14ac:dyDescent="0.25">
      <c r="F1177" s="3"/>
      <c r="H1177" s="1"/>
    </row>
    <row r="1178" spans="6:8" x14ac:dyDescent="0.25">
      <c r="F1178" s="3"/>
      <c r="H1178" s="1"/>
    </row>
    <row r="1179" spans="6:8" x14ac:dyDescent="0.25">
      <c r="F1179" s="3"/>
      <c r="H1179" s="1"/>
    </row>
    <row r="1180" spans="6:8" x14ac:dyDescent="0.25">
      <c r="F1180" s="3"/>
      <c r="H1180" s="1"/>
    </row>
    <row r="1181" spans="6:8" x14ac:dyDescent="0.25">
      <c r="F1181" s="3"/>
      <c r="H1181" s="1"/>
    </row>
    <row r="1182" spans="6:8" x14ac:dyDescent="0.25">
      <c r="F1182" s="3"/>
      <c r="H1182" s="1"/>
    </row>
    <row r="1183" spans="6:8" x14ac:dyDescent="0.25">
      <c r="F1183" s="3"/>
      <c r="H1183" s="1"/>
    </row>
    <row r="1184" spans="6:8" x14ac:dyDescent="0.25">
      <c r="F1184" s="3"/>
      <c r="H1184" s="1"/>
    </row>
    <row r="1185" spans="6:8" x14ac:dyDescent="0.25">
      <c r="F1185" s="3"/>
      <c r="H1185" s="1"/>
    </row>
    <row r="1186" spans="6:8" x14ac:dyDescent="0.25">
      <c r="F1186" s="3"/>
      <c r="H1186" s="1"/>
    </row>
    <row r="1187" spans="6:8" x14ac:dyDescent="0.25">
      <c r="F1187" s="3"/>
      <c r="H1187" s="1"/>
    </row>
    <row r="1188" spans="6:8" x14ac:dyDescent="0.25">
      <c r="F1188" s="3"/>
      <c r="H1188" s="1"/>
    </row>
    <row r="1189" spans="6:8" x14ac:dyDescent="0.25">
      <c r="F1189" s="3"/>
      <c r="H1189" s="1"/>
    </row>
    <row r="1190" spans="6:8" x14ac:dyDescent="0.25">
      <c r="F1190" s="3"/>
      <c r="H1190" s="1"/>
    </row>
    <row r="1191" spans="6:8" x14ac:dyDescent="0.25">
      <c r="F1191" s="3"/>
      <c r="H1191" s="1"/>
    </row>
    <row r="1192" spans="6:8" x14ac:dyDescent="0.25">
      <c r="F1192" s="3"/>
      <c r="H1192" s="1"/>
    </row>
    <row r="1193" spans="6:8" x14ac:dyDescent="0.25">
      <c r="F1193" s="3"/>
      <c r="H1193" s="1"/>
    </row>
    <row r="1194" spans="6:8" x14ac:dyDescent="0.25">
      <c r="F1194" s="3"/>
      <c r="H1194" s="1"/>
    </row>
    <row r="1195" spans="6:8" x14ac:dyDescent="0.25">
      <c r="F1195" s="3"/>
      <c r="H1195" s="1"/>
    </row>
    <row r="1196" spans="6:8" x14ac:dyDescent="0.25">
      <c r="F1196" s="3"/>
      <c r="H1196" s="1"/>
    </row>
    <row r="1197" spans="6:8" x14ac:dyDescent="0.25">
      <c r="F1197" s="3"/>
      <c r="H1197" s="1"/>
    </row>
    <row r="1198" spans="6:8" x14ac:dyDescent="0.25">
      <c r="F1198" s="3"/>
      <c r="H1198" s="1"/>
    </row>
    <row r="1199" spans="6:8" x14ac:dyDescent="0.25">
      <c r="F1199" s="3"/>
      <c r="H1199" s="1"/>
    </row>
    <row r="1200" spans="6:8" x14ac:dyDescent="0.25">
      <c r="F1200" s="3"/>
      <c r="H1200" s="1"/>
    </row>
    <row r="1201" spans="6:8" x14ac:dyDescent="0.25">
      <c r="F1201" s="3"/>
      <c r="H1201" s="1"/>
    </row>
    <row r="1202" spans="6:8" x14ac:dyDescent="0.25">
      <c r="F1202" s="3"/>
      <c r="H1202" s="1"/>
    </row>
    <row r="1203" spans="6:8" x14ac:dyDescent="0.25">
      <c r="F1203" s="3"/>
      <c r="H1203" s="1"/>
    </row>
    <row r="1204" spans="6:8" x14ac:dyDescent="0.25">
      <c r="F1204" s="3"/>
      <c r="H1204" s="1"/>
    </row>
    <row r="1205" spans="6:8" x14ac:dyDescent="0.25">
      <c r="F1205" s="3"/>
      <c r="H1205" s="1"/>
    </row>
    <row r="1206" spans="6:8" x14ac:dyDescent="0.25">
      <c r="F1206" s="3"/>
      <c r="H1206" s="1"/>
    </row>
    <row r="1207" spans="6:8" x14ac:dyDescent="0.25">
      <c r="F1207" s="3"/>
      <c r="H1207" s="1"/>
    </row>
    <row r="1208" spans="6:8" x14ac:dyDescent="0.25">
      <c r="F1208" s="3"/>
      <c r="H1208" s="1"/>
    </row>
    <row r="1209" spans="6:8" x14ac:dyDescent="0.25">
      <c r="F1209" s="3"/>
      <c r="H1209" s="1"/>
    </row>
    <row r="1210" spans="6:8" x14ac:dyDescent="0.25">
      <c r="F1210" s="3"/>
      <c r="H1210" s="1"/>
    </row>
    <row r="1211" spans="6:8" x14ac:dyDescent="0.25">
      <c r="F1211" s="3"/>
      <c r="H1211" s="1"/>
    </row>
    <row r="1212" spans="6:8" x14ac:dyDescent="0.25">
      <c r="F1212" s="3"/>
      <c r="H1212" s="1"/>
    </row>
    <row r="1213" spans="6:8" x14ac:dyDescent="0.25">
      <c r="F1213" s="3"/>
      <c r="H1213" s="1"/>
    </row>
    <row r="1214" spans="6:8" x14ac:dyDescent="0.25">
      <c r="F1214" s="3"/>
      <c r="H1214" s="1"/>
    </row>
    <row r="1215" spans="6:8" x14ac:dyDescent="0.25">
      <c r="F1215" s="3"/>
      <c r="H1215" s="1"/>
    </row>
    <row r="1216" spans="6:8" x14ac:dyDescent="0.25">
      <c r="F1216" s="3"/>
      <c r="H1216" s="1"/>
    </row>
    <row r="1217" spans="6:8" x14ac:dyDescent="0.25">
      <c r="F1217" s="3"/>
      <c r="H1217" s="1"/>
    </row>
    <row r="1218" spans="6:8" x14ac:dyDescent="0.25">
      <c r="F1218" s="3"/>
      <c r="H1218" s="1"/>
    </row>
    <row r="1219" spans="6:8" x14ac:dyDescent="0.25">
      <c r="F1219" s="3"/>
      <c r="H1219" s="1"/>
    </row>
    <row r="1220" spans="6:8" x14ac:dyDescent="0.25">
      <c r="F1220" s="3"/>
      <c r="H1220" s="1"/>
    </row>
    <row r="1221" spans="6:8" x14ac:dyDescent="0.25">
      <c r="F1221" s="3"/>
      <c r="H1221" s="1"/>
    </row>
    <row r="1222" spans="6:8" x14ac:dyDescent="0.25">
      <c r="F1222" s="3"/>
      <c r="H1222" s="1"/>
    </row>
    <row r="1223" spans="6:8" x14ac:dyDescent="0.25">
      <c r="F1223" s="3"/>
      <c r="H1223" s="1"/>
    </row>
    <row r="1224" spans="6:8" x14ac:dyDescent="0.25">
      <c r="F1224" s="3"/>
      <c r="H1224" s="1"/>
    </row>
    <row r="1225" spans="6:8" x14ac:dyDescent="0.25">
      <c r="F1225" s="3"/>
      <c r="H1225" s="1"/>
    </row>
    <row r="1226" spans="6:8" x14ac:dyDescent="0.25">
      <c r="F1226" s="3"/>
      <c r="H1226" s="1"/>
    </row>
    <row r="1227" spans="6:8" x14ac:dyDescent="0.25">
      <c r="F1227" s="3"/>
      <c r="H1227" s="1"/>
    </row>
    <row r="1228" spans="6:8" x14ac:dyDescent="0.25">
      <c r="F1228" s="3"/>
      <c r="H1228" s="1"/>
    </row>
    <row r="1229" spans="6:8" x14ac:dyDescent="0.25">
      <c r="F1229" s="3"/>
      <c r="H1229" s="1"/>
    </row>
    <row r="1230" spans="6:8" x14ac:dyDescent="0.25">
      <c r="F1230" s="3"/>
      <c r="H1230" s="1"/>
    </row>
    <row r="1231" spans="6:8" x14ac:dyDescent="0.25">
      <c r="F1231" s="3"/>
      <c r="H1231" s="1"/>
    </row>
    <row r="1232" spans="6:8" x14ac:dyDescent="0.25">
      <c r="F1232" s="3"/>
      <c r="H1232" s="1"/>
    </row>
    <row r="1233" spans="6:8" x14ac:dyDescent="0.25">
      <c r="F1233" s="3"/>
      <c r="H1233" s="1"/>
    </row>
    <row r="1234" spans="6:8" x14ac:dyDescent="0.25">
      <c r="F1234" s="3"/>
      <c r="H1234" s="1"/>
    </row>
    <row r="1235" spans="6:8" x14ac:dyDescent="0.25">
      <c r="F1235" s="3"/>
      <c r="H1235" s="1"/>
    </row>
    <row r="1236" spans="6:8" x14ac:dyDescent="0.25">
      <c r="F1236" s="3"/>
      <c r="H1236" s="1"/>
    </row>
    <row r="1237" spans="6:8" x14ac:dyDescent="0.25">
      <c r="F1237" s="3"/>
      <c r="H1237" s="1"/>
    </row>
    <row r="1238" spans="6:8" x14ac:dyDescent="0.25">
      <c r="F1238" s="3"/>
      <c r="H1238" s="1"/>
    </row>
    <row r="1239" spans="6:8" x14ac:dyDescent="0.25">
      <c r="F1239" s="3"/>
      <c r="H1239" s="1"/>
    </row>
    <row r="1240" spans="6:8" x14ac:dyDescent="0.25">
      <c r="F1240" s="3"/>
      <c r="H1240" s="1"/>
    </row>
    <row r="1241" spans="6:8" x14ac:dyDescent="0.25">
      <c r="F1241" s="3"/>
      <c r="H1241" s="1"/>
    </row>
    <row r="1242" spans="6:8" x14ac:dyDescent="0.25">
      <c r="F1242" s="3"/>
      <c r="H1242" s="1"/>
    </row>
    <row r="1243" spans="6:8" x14ac:dyDescent="0.25">
      <c r="F1243" s="3"/>
      <c r="H1243" s="1"/>
    </row>
    <row r="1244" spans="6:8" x14ac:dyDescent="0.25">
      <c r="F1244" s="3"/>
      <c r="H1244" s="1"/>
    </row>
    <row r="1245" spans="6:8" x14ac:dyDescent="0.25">
      <c r="F1245" s="3"/>
      <c r="H1245" s="1"/>
    </row>
    <row r="1246" spans="6:8" x14ac:dyDescent="0.25">
      <c r="F1246" s="3"/>
      <c r="H1246" s="1"/>
    </row>
    <row r="1247" spans="6:8" x14ac:dyDescent="0.25">
      <c r="F1247" s="3"/>
      <c r="H1247" s="1"/>
    </row>
    <row r="1248" spans="6:8" x14ac:dyDescent="0.25">
      <c r="F1248" s="3"/>
      <c r="H1248" s="1"/>
    </row>
    <row r="1249" spans="6:8" x14ac:dyDescent="0.25">
      <c r="F1249" s="3"/>
      <c r="H1249" s="1"/>
    </row>
    <row r="1250" spans="6:8" x14ac:dyDescent="0.25">
      <c r="F1250" s="3"/>
      <c r="H1250" s="1"/>
    </row>
    <row r="1251" spans="6:8" x14ac:dyDescent="0.25">
      <c r="F1251" s="3"/>
      <c r="H1251" s="1"/>
    </row>
    <row r="1252" spans="6:8" x14ac:dyDescent="0.25">
      <c r="F1252" s="3"/>
      <c r="H1252" s="1"/>
    </row>
    <row r="1253" spans="6:8" x14ac:dyDescent="0.25">
      <c r="F1253" s="3"/>
      <c r="H1253" s="1"/>
    </row>
    <row r="1254" spans="6:8" x14ac:dyDescent="0.25">
      <c r="F1254" s="3"/>
      <c r="H1254" s="1"/>
    </row>
    <row r="1255" spans="6:8" x14ac:dyDescent="0.25">
      <c r="F1255" s="3"/>
      <c r="H1255" s="1"/>
    </row>
    <row r="1256" spans="6:8" x14ac:dyDescent="0.25">
      <c r="F1256" s="3"/>
      <c r="H1256" s="1"/>
    </row>
    <row r="1257" spans="6:8" x14ac:dyDescent="0.25">
      <c r="F1257" s="3"/>
      <c r="H1257" s="1"/>
    </row>
    <row r="1258" spans="6:8" x14ac:dyDescent="0.25">
      <c r="F1258" s="3"/>
      <c r="H1258" s="1"/>
    </row>
    <row r="1259" spans="6:8" x14ac:dyDescent="0.25">
      <c r="F1259" s="3"/>
      <c r="H1259" s="1"/>
    </row>
    <row r="1260" spans="6:8" x14ac:dyDescent="0.25">
      <c r="F1260" s="3"/>
      <c r="H1260" s="1"/>
    </row>
    <row r="1261" spans="6:8" x14ac:dyDescent="0.25">
      <c r="F1261" s="3"/>
      <c r="H1261" s="1"/>
    </row>
    <row r="1262" spans="6:8" x14ac:dyDescent="0.25">
      <c r="F1262" s="3"/>
      <c r="H1262" s="1"/>
    </row>
    <row r="1263" spans="6:8" x14ac:dyDescent="0.25">
      <c r="F1263" s="3"/>
      <c r="H1263" s="1"/>
    </row>
    <row r="1264" spans="6:8" x14ac:dyDescent="0.25">
      <c r="F1264" s="3"/>
      <c r="H1264" s="1"/>
    </row>
    <row r="1265" spans="6:8" x14ac:dyDescent="0.25">
      <c r="F1265" s="3"/>
      <c r="H1265" s="1"/>
    </row>
    <row r="1266" spans="6:8" x14ac:dyDescent="0.25">
      <c r="F1266" s="3"/>
      <c r="H1266" s="1"/>
    </row>
    <row r="1267" spans="6:8" x14ac:dyDescent="0.25">
      <c r="F1267" s="3"/>
      <c r="H1267" s="1"/>
    </row>
    <row r="1268" spans="6:8" x14ac:dyDescent="0.25">
      <c r="F1268" s="3"/>
      <c r="H1268" s="1"/>
    </row>
    <row r="1269" spans="6:8" x14ac:dyDescent="0.25">
      <c r="F1269" s="3"/>
      <c r="H1269" s="1"/>
    </row>
    <row r="1270" spans="6:8" x14ac:dyDescent="0.25">
      <c r="F1270" s="3"/>
      <c r="H1270" s="1"/>
    </row>
    <row r="1271" spans="6:8" x14ac:dyDescent="0.25">
      <c r="F1271" s="3"/>
      <c r="H1271" s="1"/>
    </row>
    <row r="1272" spans="6:8" x14ac:dyDescent="0.25">
      <c r="F1272" s="3"/>
      <c r="H1272" s="1"/>
    </row>
    <row r="1273" spans="6:8" x14ac:dyDescent="0.25">
      <c r="F1273" s="3"/>
      <c r="H1273" s="1"/>
    </row>
    <row r="1274" spans="6:8" x14ac:dyDescent="0.25">
      <c r="F1274" s="3"/>
      <c r="H1274" s="1"/>
    </row>
    <row r="1275" spans="6:8" x14ac:dyDescent="0.25">
      <c r="F1275" s="3"/>
      <c r="H1275" s="1"/>
    </row>
    <row r="1276" spans="6:8" x14ac:dyDescent="0.25">
      <c r="F1276" s="3"/>
      <c r="H1276" s="1"/>
    </row>
    <row r="1277" spans="6:8" x14ac:dyDescent="0.25">
      <c r="F1277" s="3"/>
      <c r="H1277" s="1"/>
    </row>
    <row r="1278" spans="6:8" x14ac:dyDescent="0.25">
      <c r="F1278" s="3"/>
      <c r="H1278" s="1"/>
    </row>
    <row r="1279" spans="6:8" x14ac:dyDescent="0.25">
      <c r="F1279" s="3"/>
      <c r="H1279" s="1"/>
    </row>
    <row r="1280" spans="6:8" x14ac:dyDescent="0.25">
      <c r="F1280" s="3"/>
      <c r="H1280" s="1"/>
    </row>
    <row r="1281" spans="6:8" x14ac:dyDescent="0.25">
      <c r="F1281" s="3"/>
      <c r="H1281" s="1"/>
    </row>
    <row r="1282" spans="6:8" x14ac:dyDescent="0.25">
      <c r="F1282" s="3"/>
      <c r="H1282" s="1"/>
    </row>
    <row r="1283" spans="6:8" x14ac:dyDescent="0.25">
      <c r="F1283" s="3"/>
      <c r="H1283" s="1"/>
    </row>
    <row r="1284" spans="6:8" x14ac:dyDescent="0.25">
      <c r="F1284" s="3"/>
      <c r="H1284" s="1"/>
    </row>
    <row r="1285" spans="6:8" x14ac:dyDescent="0.25">
      <c r="F1285" s="3"/>
      <c r="H1285" s="1"/>
    </row>
    <row r="1286" spans="6:8" x14ac:dyDescent="0.25">
      <c r="F1286" s="3"/>
      <c r="H1286" s="1"/>
    </row>
    <row r="1287" spans="6:8" x14ac:dyDescent="0.25">
      <c r="F1287" s="3"/>
      <c r="H1287" s="1"/>
    </row>
    <row r="1288" spans="6:8" x14ac:dyDescent="0.25">
      <c r="F1288" s="3"/>
      <c r="H1288" s="1"/>
    </row>
    <row r="1289" spans="6:8" x14ac:dyDescent="0.25">
      <c r="F1289" s="3"/>
      <c r="H1289" s="1"/>
    </row>
    <row r="1290" spans="6:8" x14ac:dyDescent="0.25">
      <c r="F1290" s="3"/>
      <c r="H1290" s="1"/>
    </row>
    <row r="1291" spans="6:8" x14ac:dyDescent="0.25">
      <c r="F1291" s="3"/>
      <c r="H1291" s="1"/>
    </row>
    <row r="1292" spans="6:8" x14ac:dyDescent="0.25">
      <c r="F1292" s="3"/>
      <c r="H1292" s="1"/>
    </row>
    <row r="1293" spans="6:8" x14ac:dyDescent="0.25">
      <c r="F1293" s="3"/>
      <c r="H1293" s="1"/>
    </row>
    <row r="1294" spans="6:8" x14ac:dyDescent="0.25">
      <c r="F1294" s="3"/>
      <c r="H1294" s="1"/>
    </row>
    <row r="1295" spans="6:8" x14ac:dyDescent="0.25">
      <c r="F1295" s="3"/>
      <c r="H1295" s="1"/>
    </row>
    <row r="1296" spans="6:8" x14ac:dyDescent="0.25">
      <c r="F1296" s="3"/>
      <c r="H1296" s="1"/>
    </row>
    <row r="1297" spans="6:8" x14ac:dyDescent="0.25">
      <c r="F1297" s="3"/>
      <c r="H1297" s="1"/>
    </row>
    <row r="1298" spans="6:8" x14ac:dyDescent="0.25">
      <c r="F1298" s="3"/>
      <c r="H1298" s="1"/>
    </row>
    <row r="1299" spans="6:8" x14ac:dyDescent="0.25">
      <c r="F1299" s="3"/>
      <c r="H1299" s="1"/>
    </row>
    <row r="1300" spans="6:8" x14ac:dyDescent="0.25">
      <c r="F1300" s="3"/>
      <c r="H1300" s="1"/>
    </row>
    <row r="1301" spans="6:8" x14ac:dyDescent="0.25">
      <c r="F1301" s="3"/>
      <c r="H1301" s="1"/>
    </row>
    <row r="1302" spans="6:8" x14ac:dyDescent="0.25">
      <c r="F1302" s="3"/>
      <c r="H1302" s="1"/>
    </row>
    <row r="1303" spans="6:8" x14ac:dyDescent="0.25">
      <c r="F1303" s="3"/>
      <c r="H1303" s="1"/>
    </row>
    <row r="1304" spans="6:8" x14ac:dyDescent="0.25">
      <c r="F1304" s="3"/>
      <c r="H1304" s="1"/>
    </row>
    <row r="1305" spans="6:8" x14ac:dyDescent="0.25">
      <c r="F1305" s="3"/>
      <c r="H1305" s="1"/>
    </row>
    <row r="1306" spans="6:8" x14ac:dyDescent="0.25">
      <c r="F1306" s="3"/>
      <c r="H1306" s="1"/>
    </row>
    <row r="1307" spans="6:8" x14ac:dyDescent="0.25">
      <c r="F1307" s="3"/>
      <c r="H1307" s="1"/>
    </row>
    <row r="1308" spans="6:8" x14ac:dyDescent="0.25">
      <c r="F1308" s="3"/>
      <c r="H1308" s="1"/>
    </row>
    <row r="1309" spans="6:8" x14ac:dyDescent="0.25">
      <c r="F1309" s="3"/>
      <c r="H1309" s="1"/>
    </row>
    <row r="1310" spans="6:8" x14ac:dyDescent="0.25">
      <c r="F1310" s="3"/>
      <c r="H1310" s="1"/>
    </row>
    <row r="1311" spans="6:8" x14ac:dyDescent="0.25">
      <c r="F1311" s="3"/>
      <c r="H1311" s="1"/>
    </row>
    <row r="1312" spans="6:8" x14ac:dyDescent="0.25">
      <c r="F1312" s="3"/>
      <c r="H1312" s="1"/>
    </row>
    <row r="1313" spans="6:8" x14ac:dyDescent="0.25">
      <c r="F1313" s="3"/>
      <c r="H1313" s="1"/>
    </row>
    <row r="1314" spans="6:8" x14ac:dyDescent="0.25">
      <c r="F1314" s="3"/>
      <c r="H1314" s="1"/>
    </row>
    <row r="1315" spans="6:8" x14ac:dyDescent="0.25">
      <c r="F1315" s="3"/>
      <c r="H1315" s="1"/>
    </row>
    <row r="1316" spans="6:8" x14ac:dyDescent="0.25">
      <c r="F1316" s="3"/>
      <c r="H1316" s="1"/>
    </row>
    <row r="1317" spans="6:8" x14ac:dyDescent="0.25">
      <c r="F1317" s="3"/>
      <c r="H1317" s="1"/>
    </row>
    <row r="1318" spans="6:8" x14ac:dyDescent="0.25">
      <c r="F1318" s="3"/>
      <c r="H1318" s="1"/>
    </row>
    <row r="1319" spans="6:8" x14ac:dyDescent="0.25">
      <c r="F1319" s="3"/>
      <c r="H1319" s="1"/>
    </row>
    <row r="1320" spans="6:8" x14ac:dyDescent="0.25">
      <c r="F1320" s="3"/>
      <c r="H1320" s="1"/>
    </row>
    <row r="1321" spans="6:8" x14ac:dyDescent="0.25">
      <c r="F1321" s="3"/>
      <c r="H1321" s="1"/>
    </row>
    <row r="1322" spans="6:8" x14ac:dyDescent="0.25">
      <c r="F1322" s="3"/>
      <c r="H1322" s="1"/>
    </row>
    <row r="1323" spans="6:8" x14ac:dyDescent="0.25">
      <c r="F1323" s="3"/>
      <c r="H1323" s="1"/>
    </row>
    <row r="1324" spans="6:8" x14ac:dyDescent="0.25">
      <c r="F1324" s="3"/>
      <c r="H1324" s="1"/>
    </row>
    <row r="1325" spans="6:8" x14ac:dyDescent="0.25">
      <c r="F1325" s="3"/>
      <c r="H1325" s="1"/>
    </row>
    <row r="1326" spans="6:8" x14ac:dyDescent="0.25">
      <c r="F1326" s="3"/>
      <c r="H1326" s="1"/>
    </row>
    <row r="1327" spans="6:8" x14ac:dyDescent="0.25">
      <c r="F1327" s="3"/>
      <c r="H1327" s="1"/>
    </row>
    <row r="1328" spans="6:8" x14ac:dyDescent="0.25">
      <c r="F1328" s="3"/>
      <c r="H1328" s="1"/>
    </row>
    <row r="1329" spans="6:8" x14ac:dyDescent="0.25">
      <c r="F1329" s="3"/>
      <c r="H1329" s="1"/>
    </row>
    <row r="1330" spans="6:8" x14ac:dyDescent="0.25">
      <c r="F1330" s="3"/>
      <c r="H1330" s="1"/>
    </row>
    <row r="1331" spans="6:8" x14ac:dyDescent="0.25">
      <c r="F1331" s="3"/>
      <c r="H1331" s="1"/>
    </row>
    <row r="1332" spans="6:8" x14ac:dyDescent="0.25">
      <c r="F1332" s="3"/>
      <c r="H1332" s="1"/>
    </row>
    <row r="1333" spans="6:8" x14ac:dyDescent="0.25">
      <c r="F1333" s="3"/>
      <c r="H1333" s="1"/>
    </row>
    <row r="1334" spans="6:8" x14ac:dyDescent="0.25">
      <c r="F1334" s="3"/>
      <c r="H1334" s="1"/>
    </row>
    <row r="1335" spans="6:8" x14ac:dyDescent="0.25">
      <c r="F1335" s="3"/>
      <c r="H1335" s="1"/>
    </row>
    <row r="1336" spans="6:8" x14ac:dyDescent="0.25">
      <c r="F1336" s="3"/>
      <c r="H1336" s="1"/>
    </row>
    <row r="1337" spans="6:8" x14ac:dyDescent="0.25">
      <c r="F1337" s="3"/>
      <c r="H1337" s="1"/>
    </row>
    <row r="1338" spans="6:8" x14ac:dyDescent="0.25">
      <c r="F1338" s="3"/>
      <c r="H1338" s="1"/>
    </row>
    <row r="1339" spans="6:8" x14ac:dyDescent="0.25">
      <c r="F1339" s="3"/>
      <c r="H1339" s="1"/>
    </row>
    <row r="1340" spans="6:8" x14ac:dyDescent="0.25">
      <c r="F1340" s="3"/>
      <c r="H1340" s="1"/>
    </row>
    <row r="1341" spans="6:8" x14ac:dyDescent="0.25">
      <c r="F1341" s="3"/>
      <c r="H1341" s="1"/>
    </row>
    <row r="1342" spans="6:8" x14ac:dyDescent="0.25">
      <c r="F1342" s="3"/>
      <c r="H1342" s="1"/>
    </row>
    <row r="1343" spans="6:8" x14ac:dyDescent="0.25">
      <c r="F1343" s="3"/>
      <c r="H1343" s="1"/>
    </row>
    <row r="1344" spans="6:8" x14ac:dyDescent="0.25">
      <c r="F1344" s="3"/>
      <c r="H1344" s="1"/>
    </row>
    <row r="1345" spans="6:8" x14ac:dyDescent="0.25">
      <c r="F1345" s="3"/>
      <c r="H1345" s="1"/>
    </row>
    <row r="1346" spans="6:8" x14ac:dyDescent="0.25">
      <c r="F1346" s="3"/>
      <c r="H1346" s="1"/>
    </row>
    <row r="1347" spans="6:8" x14ac:dyDescent="0.25">
      <c r="F1347" s="3"/>
      <c r="H1347" s="1"/>
    </row>
    <row r="1348" spans="6:8" x14ac:dyDescent="0.25">
      <c r="F1348" s="3"/>
      <c r="H1348" s="1"/>
    </row>
    <row r="1349" spans="6:8" x14ac:dyDescent="0.25">
      <c r="F1349" s="3"/>
      <c r="H1349" s="1"/>
    </row>
    <row r="1350" spans="6:8" x14ac:dyDescent="0.25">
      <c r="F1350" s="3"/>
      <c r="H1350" s="1"/>
    </row>
    <row r="1351" spans="6:8" x14ac:dyDescent="0.25">
      <c r="F1351" s="3"/>
      <c r="H1351" s="1"/>
    </row>
    <row r="1352" spans="6:8" x14ac:dyDescent="0.25">
      <c r="F1352" s="3"/>
      <c r="H1352" s="1"/>
    </row>
    <row r="1353" spans="6:8" x14ac:dyDescent="0.25">
      <c r="F1353" s="3"/>
      <c r="H1353" s="1"/>
    </row>
    <row r="1354" spans="6:8" x14ac:dyDescent="0.25">
      <c r="F1354" s="3"/>
      <c r="H1354" s="1"/>
    </row>
    <row r="1355" spans="6:8" x14ac:dyDescent="0.25">
      <c r="F1355" s="3"/>
      <c r="H1355" s="1"/>
    </row>
    <row r="1356" spans="6:8" x14ac:dyDescent="0.25">
      <c r="F1356" s="3"/>
      <c r="H1356" s="1"/>
    </row>
    <row r="1357" spans="6:8" x14ac:dyDescent="0.25">
      <c r="F1357" s="3"/>
      <c r="H1357" s="1"/>
    </row>
    <row r="1358" spans="6:8" x14ac:dyDescent="0.25">
      <c r="F1358" s="3"/>
      <c r="H1358" s="1"/>
    </row>
    <row r="1359" spans="6:8" x14ac:dyDescent="0.25">
      <c r="F1359" s="3"/>
      <c r="H1359" s="1"/>
    </row>
    <row r="1360" spans="6:8" x14ac:dyDescent="0.25">
      <c r="F1360" s="3"/>
      <c r="H1360" s="1"/>
    </row>
    <row r="1361" spans="6:8" x14ac:dyDescent="0.25">
      <c r="F1361" s="3"/>
      <c r="H1361" s="1"/>
    </row>
    <row r="1362" spans="6:8" x14ac:dyDescent="0.25">
      <c r="F1362" s="3"/>
      <c r="H1362" s="1"/>
    </row>
    <row r="1363" spans="6:8" x14ac:dyDescent="0.25">
      <c r="F1363" s="3"/>
      <c r="H1363" s="1"/>
    </row>
    <row r="1364" spans="6:8" x14ac:dyDescent="0.25">
      <c r="F1364" s="3"/>
      <c r="H1364" s="1"/>
    </row>
    <row r="1365" spans="6:8" x14ac:dyDescent="0.25">
      <c r="F1365" s="3"/>
      <c r="H1365" s="1"/>
    </row>
    <row r="1366" spans="6:8" x14ac:dyDescent="0.25">
      <c r="F1366" s="3"/>
      <c r="H1366" s="1"/>
    </row>
    <row r="1367" spans="6:8" x14ac:dyDescent="0.25">
      <c r="F1367" s="3"/>
      <c r="H1367" s="1"/>
    </row>
    <row r="1368" spans="6:8" x14ac:dyDescent="0.25">
      <c r="F1368" s="3"/>
      <c r="H1368" s="1"/>
    </row>
    <row r="1369" spans="6:8" x14ac:dyDescent="0.25">
      <c r="F1369" s="3"/>
      <c r="H1369" s="1"/>
    </row>
    <row r="1370" spans="6:8" x14ac:dyDescent="0.25">
      <c r="F1370" s="3"/>
      <c r="H1370" s="1"/>
    </row>
    <row r="1371" spans="6:8" x14ac:dyDescent="0.25">
      <c r="F1371" s="3"/>
      <c r="H1371" s="1"/>
    </row>
    <row r="1372" spans="6:8" x14ac:dyDescent="0.25">
      <c r="F1372" s="3"/>
      <c r="H1372" s="1"/>
    </row>
    <row r="1373" spans="6:8" x14ac:dyDescent="0.25">
      <c r="F1373" s="3"/>
      <c r="H1373" s="1"/>
    </row>
    <row r="1374" spans="6:8" x14ac:dyDescent="0.25">
      <c r="F1374" s="3"/>
      <c r="H1374" s="1"/>
    </row>
    <row r="1375" spans="6:8" x14ac:dyDescent="0.25">
      <c r="F1375" s="3"/>
      <c r="H1375" s="1"/>
    </row>
    <row r="1376" spans="6:8" x14ac:dyDescent="0.25">
      <c r="F1376" s="3"/>
      <c r="H1376" s="1"/>
    </row>
    <row r="1377" spans="6:8" x14ac:dyDescent="0.25">
      <c r="F1377" s="3"/>
      <c r="H1377" s="1"/>
    </row>
    <row r="1378" spans="6:8" x14ac:dyDescent="0.25">
      <c r="F1378" s="3"/>
      <c r="H1378" s="1"/>
    </row>
    <row r="1379" spans="6:8" x14ac:dyDescent="0.25">
      <c r="F1379" s="3"/>
      <c r="H1379" s="1"/>
    </row>
    <row r="1380" spans="6:8" x14ac:dyDescent="0.25">
      <c r="F1380" s="3"/>
      <c r="H1380" s="1"/>
    </row>
    <row r="1381" spans="6:8" x14ac:dyDescent="0.25">
      <c r="F1381" s="3"/>
      <c r="H1381" s="1"/>
    </row>
    <row r="1382" spans="6:8" x14ac:dyDescent="0.25">
      <c r="F1382" s="3"/>
      <c r="H1382" s="1"/>
    </row>
    <row r="1383" spans="6:8" x14ac:dyDescent="0.25">
      <c r="F1383" s="3"/>
      <c r="H1383" s="1"/>
    </row>
    <row r="1384" spans="6:8" x14ac:dyDescent="0.25">
      <c r="F1384" s="3"/>
      <c r="H1384" s="1"/>
    </row>
    <row r="1385" spans="6:8" x14ac:dyDescent="0.25">
      <c r="F1385" s="3"/>
      <c r="H1385" s="1"/>
    </row>
    <row r="1386" spans="6:8" x14ac:dyDescent="0.25">
      <c r="F1386" s="3"/>
      <c r="H1386" s="1"/>
    </row>
    <row r="1387" spans="6:8" x14ac:dyDescent="0.25">
      <c r="F1387" s="3"/>
      <c r="H1387" s="1"/>
    </row>
    <row r="1388" spans="6:8" x14ac:dyDescent="0.25">
      <c r="F1388" s="3"/>
      <c r="H1388" s="1"/>
    </row>
    <row r="1389" spans="6:8" x14ac:dyDescent="0.25">
      <c r="F1389" s="3"/>
      <c r="H1389" s="1"/>
    </row>
    <row r="1390" spans="6:8" x14ac:dyDescent="0.25">
      <c r="F1390" s="3"/>
      <c r="H1390" s="1"/>
    </row>
    <row r="1391" spans="6:8" x14ac:dyDescent="0.25">
      <c r="F1391" s="3"/>
      <c r="H1391" s="1"/>
    </row>
    <row r="1392" spans="6:8" x14ac:dyDescent="0.25">
      <c r="F1392" s="3"/>
      <c r="H1392" s="1"/>
    </row>
    <row r="1393" spans="6:8" x14ac:dyDescent="0.25">
      <c r="F1393" s="3"/>
      <c r="H1393" s="1"/>
    </row>
    <row r="1394" spans="6:8" x14ac:dyDescent="0.25">
      <c r="F1394" s="3"/>
      <c r="H1394" s="1"/>
    </row>
    <row r="1395" spans="6:8" x14ac:dyDescent="0.25">
      <c r="F1395" s="3"/>
      <c r="H1395" s="1"/>
    </row>
    <row r="1396" spans="6:8" x14ac:dyDescent="0.25">
      <c r="F1396" s="3"/>
      <c r="H1396" s="1"/>
    </row>
    <row r="1397" spans="6:8" x14ac:dyDescent="0.25">
      <c r="F1397" s="3"/>
      <c r="H1397" s="1"/>
    </row>
    <row r="1398" spans="6:8" x14ac:dyDescent="0.25">
      <c r="F1398" s="3"/>
      <c r="H1398" s="1"/>
    </row>
    <row r="1399" spans="6:8" x14ac:dyDescent="0.25">
      <c r="F1399" s="3"/>
      <c r="H1399" s="1"/>
    </row>
    <row r="1400" spans="6:8" x14ac:dyDescent="0.25">
      <c r="F1400" s="3"/>
      <c r="H1400" s="1"/>
    </row>
    <row r="1401" spans="6:8" x14ac:dyDescent="0.25">
      <c r="F1401" s="3"/>
      <c r="H1401" s="1"/>
    </row>
    <row r="1402" spans="6:8" x14ac:dyDescent="0.25">
      <c r="F1402" s="3"/>
      <c r="H1402" s="1"/>
    </row>
    <row r="1403" spans="6:8" x14ac:dyDescent="0.25">
      <c r="F1403" s="3"/>
      <c r="H1403" s="1"/>
    </row>
    <row r="1404" spans="6:8" x14ac:dyDescent="0.25">
      <c r="F1404" s="3"/>
      <c r="H1404" s="1"/>
    </row>
    <row r="1405" spans="6:8" x14ac:dyDescent="0.25">
      <c r="F1405" s="3"/>
      <c r="H1405" s="1"/>
    </row>
    <row r="1406" spans="6:8" x14ac:dyDescent="0.25">
      <c r="F1406" s="3"/>
      <c r="H1406" s="1"/>
    </row>
    <row r="1407" spans="6:8" x14ac:dyDescent="0.25">
      <c r="F1407" s="3"/>
      <c r="H1407" s="1"/>
    </row>
    <row r="1408" spans="6:8" x14ac:dyDescent="0.25">
      <c r="F1408" s="3"/>
      <c r="H1408" s="1"/>
    </row>
    <row r="1409" spans="6:8" x14ac:dyDescent="0.25">
      <c r="F1409" s="3"/>
      <c r="H1409" s="1"/>
    </row>
    <row r="1410" spans="6:8" x14ac:dyDescent="0.25">
      <c r="F1410" s="3"/>
      <c r="H1410" s="1"/>
    </row>
    <row r="1411" spans="6:8" x14ac:dyDescent="0.25">
      <c r="F1411" s="3"/>
      <c r="H1411" s="1"/>
    </row>
    <row r="1412" spans="6:8" x14ac:dyDescent="0.25">
      <c r="F1412" s="3"/>
      <c r="H1412" s="1"/>
    </row>
    <row r="1413" spans="6:8" x14ac:dyDescent="0.25">
      <c r="F1413" s="3"/>
      <c r="H1413" s="1"/>
    </row>
    <row r="1414" spans="6:8" x14ac:dyDescent="0.25">
      <c r="F1414" s="3"/>
      <c r="H1414" s="1"/>
    </row>
    <row r="1415" spans="6:8" x14ac:dyDescent="0.25">
      <c r="F1415" s="3"/>
      <c r="H1415" s="1"/>
    </row>
    <row r="1416" spans="6:8" x14ac:dyDescent="0.25">
      <c r="F1416" s="3"/>
      <c r="H1416" s="1"/>
    </row>
    <row r="1417" spans="6:8" x14ac:dyDescent="0.25">
      <c r="F1417" s="3"/>
      <c r="H1417" s="1"/>
    </row>
    <row r="1418" spans="6:8" x14ac:dyDescent="0.25">
      <c r="F1418" s="3"/>
      <c r="H1418" s="1"/>
    </row>
    <row r="1419" spans="6:8" x14ac:dyDescent="0.25">
      <c r="F1419" s="3"/>
      <c r="H1419" s="1"/>
    </row>
    <row r="1420" spans="6:8" x14ac:dyDescent="0.25">
      <c r="F1420" s="3"/>
      <c r="H1420" s="1"/>
    </row>
    <row r="1421" spans="6:8" x14ac:dyDescent="0.25">
      <c r="F1421" s="3"/>
      <c r="H1421" s="1"/>
    </row>
    <row r="1422" spans="6:8" x14ac:dyDescent="0.25">
      <c r="F1422" s="3"/>
      <c r="H1422" s="1"/>
    </row>
    <row r="1423" spans="6:8" x14ac:dyDescent="0.25">
      <c r="F1423" s="3"/>
      <c r="H1423" s="1"/>
    </row>
    <row r="1424" spans="6:8" x14ac:dyDescent="0.25">
      <c r="F1424" s="3"/>
      <c r="H1424" s="1"/>
    </row>
    <row r="1425" spans="6:8" x14ac:dyDescent="0.25">
      <c r="F1425" s="3"/>
      <c r="H1425" s="1"/>
    </row>
    <row r="1426" spans="6:8" x14ac:dyDescent="0.25">
      <c r="F1426" s="3"/>
      <c r="H1426" s="1"/>
    </row>
    <row r="1427" spans="6:8" x14ac:dyDescent="0.25">
      <c r="F1427" s="3"/>
      <c r="H1427" s="1"/>
    </row>
    <row r="1428" spans="6:8" x14ac:dyDescent="0.25">
      <c r="F1428" s="3"/>
      <c r="H1428" s="1"/>
    </row>
    <row r="1429" spans="6:8" x14ac:dyDescent="0.25">
      <c r="F1429" s="3"/>
      <c r="H1429" s="1"/>
    </row>
    <row r="1430" spans="6:8" x14ac:dyDescent="0.25">
      <c r="F1430" s="3"/>
      <c r="H1430" s="1"/>
    </row>
    <row r="1431" spans="6:8" x14ac:dyDescent="0.25">
      <c r="F1431" s="3"/>
      <c r="H1431" s="1"/>
    </row>
    <row r="1432" spans="6:8" x14ac:dyDescent="0.25">
      <c r="F1432" s="3"/>
      <c r="H1432" s="1"/>
    </row>
    <row r="1433" spans="6:8" x14ac:dyDescent="0.25">
      <c r="F1433" s="3"/>
      <c r="H1433" s="1"/>
    </row>
    <row r="1434" spans="6:8" x14ac:dyDescent="0.25">
      <c r="F1434" s="3"/>
      <c r="H1434" s="1"/>
    </row>
    <row r="1435" spans="6:8" x14ac:dyDescent="0.25">
      <c r="F1435" s="3"/>
      <c r="H1435" s="1"/>
    </row>
    <row r="1436" spans="6:8" x14ac:dyDescent="0.25">
      <c r="F1436" s="3"/>
      <c r="H1436" s="1"/>
    </row>
    <row r="1437" spans="6:8" x14ac:dyDescent="0.25">
      <c r="F1437" s="3"/>
      <c r="H1437" s="1"/>
    </row>
    <row r="1438" spans="6:8" x14ac:dyDescent="0.25">
      <c r="F1438" s="3"/>
      <c r="H1438" s="1"/>
    </row>
    <row r="1439" spans="6:8" x14ac:dyDescent="0.25">
      <c r="F1439" s="3"/>
      <c r="H1439" s="1"/>
    </row>
    <row r="1440" spans="6:8" x14ac:dyDescent="0.25">
      <c r="F1440" s="3"/>
      <c r="H1440" s="1"/>
    </row>
    <row r="1441" spans="6:8" x14ac:dyDescent="0.25">
      <c r="F1441" s="3"/>
      <c r="H1441" s="1"/>
    </row>
    <row r="1442" spans="6:8" x14ac:dyDescent="0.25">
      <c r="F1442" s="3"/>
      <c r="H1442" s="1"/>
    </row>
    <row r="1443" spans="6:8" x14ac:dyDescent="0.25">
      <c r="F1443" s="3"/>
      <c r="H1443" s="1"/>
    </row>
    <row r="1444" spans="6:8" x14ac:dyDescent="0.25">
      <c r="F1444" s="3"/>
      <c r="H1444" s="1"/>
    </row>
    <row r="1445" spans="6:8" x14ac:dyDescent="0.25">
      <c r="F1445" s="3"/>
      <c r="H1445" s="1"/>
    </row>
    <row r="1446" spans="6:8" x14ac:dyDescent="0.25">
      <c r="F1446" s="3"/>
      <c r="H1446" s="1"/>
    </row>
    <row r="1447" spans="6:8" x14ac:dyDescent="0.25">
      <c r="F1447" s="3"/>
      <c r="H1447" s="1"/>
    </row>
    <row r="1448" spans="6:8" x14ac:dyDescent="0.25">
      <c r="F1448" s="3"/>
      <c r="H1448" s="1"/>
    </row>
    <row r="1449" spans="6:8" x14ac:dyDescent="0.25">
      <c r="F1449" s="3"/>
      <c r="H1449" s="1"/>
    </row>
    <row r="1450" spans="6:8" x14ac:dyDescent="0.25">
      <c r="F1450" s="3"/>
      <c r="H1450" s="1"/>
    </row>
    <row r="1451" spans="6:8" x14ac:dyDescent="0.25">
      <c r="F1451" s="3"/>
      <c r="H1451" s="1"/>
    </row>
    <row r="1452" spans="6:8" x14ac:dyDescent="0.25">
      <c r="F1452" s="3"/>
      <c r="H1452" s="1"/>
    </row>
    <row r="1453" spans="6:8" x14ac:dyDescent="0.25">
      <c r="F1453" s="3"/>
      <c r="H1453" s="1"/>
    </row>
    <row r="1454" spans="6:8" x14ac:dyDescent="0.25">
      <c r="F1454" s="3"/>
      <c r="H1454" s="1"/>
    </row>
    <row r="1455" spans="6:8" x14ac:dyDescent="0.25">
      <c r="F1455" s="3"/>
      <c r="H1455" s="1"/>
    </row>
    <row r="1456" spans="6:8" x14ac:dyDescent="0.25">
      <c r="F1456" s="3"/>
      <c r="H1456" s="1"/>
    </row>
    <row r="1457" spans="6:8" x14ac:dyDescent="0.25">
      <c r="F1457" s="3"/>
      <c r="H1457" s="1"/>
    </row>
    <row r="1458" spans="6:8" x14ac:dyDescent="0.25">
      <c r="F1458" s="3"/>
      <c r="H1458" s="1"/>
    </row>
    <row r="1459" spans="6:8" x14ac:dyDescent="0.25">
      <c r="F1459" s="3"/>
      <c r="H1459" s="1"/>
    </row>
    <row r="1460" spans="6:8" x14ac:dyDescent="0.25">
      <c r="F1460" s="3"/>
      <c r="H1460" s="1"/>
    </row>
    <row r="1461" spans="6:8" x14ac:dyDescent="0.25">
      <c r="F1461" s="3"/>
      <c r="H1461" s="1"/>
    </row>
    <row r="1462" spans="6:8" x14ac:dyDescent="0.25">
      <c r="F1462" s="3"/>
      <c r="H1462" s="1"/>
    </row>
    <row r="1463" spans="6:8" x14ac:dyDescent="0.25">
      <c r="F1463" s="3"/>
      <c r="H1463" s="1"/>
    </row>
    <row r="1464" spans="6:8" x14ac:dyDescent="0.25">
      <c r="F1464" s="3"/>
      <c r="H1464" s="1"/>
    </row>
    <row r="1465" spans="6:8" x14ac:dyDescent="0.25">
      <c r="F1465" s="3"/>
      <c r="H1465" s="1"/>
    </row>
    <row r="1466" spans="6:8" x14ac:dyDescent="0.25">
      <c r="F1466" s="3"/>
      <c r="H1466" s="1"/>
    </row>
    <row r="1467" spans="6:8" x14ac:dyDescent="0.25">
      <c r="F1467" s="3"/>
      <c r="H1467" s="1"/>
    </row>
    <row r="1468" spans="6:8" x14ac:dyDescent="0.25">
      <c r="F1468" s="3"/>
      <c r="H1468" s="1"/>
    </row>
    <row r="1469" spans="6:8" x14ac:dyDescent="0.25">
      <c r="F1469" s="3"/>
      <c r="H1469" s="1"/>
    </row>
    <row r="1470" spans="6:8" x14ac:dyDescent="0.25">
      <c r="F1470" s="3"/>
      <c r="H1470" s="1"/>
    </row>
    <row r="1471" spans="6:8" x14ac:dyDescent="0.25">
      <c r="F1471" s="3"/>
      <c r="H1471" s="1"/>
    </row>
    <row r="1472" spans="6:8" x14ac:dyDescent="0.25">
      <c r="F1472" s="3"/>
      <c r="H1472" s="1"/>
    </row>
    <row r="1473" spans="6:8" x14ac:dyDescent="0.25">
      <c r="F1473" s="3"/>
      <c r="H1473" s="1"/>
    </row>
    <row r="1474" spans="6:8" x14ac:dyDescent="0.25">
      <c r="F1474" s="3"/>
      <c r="H1474" s="1"/>
    </row>
    <row r="1475" spans="6:8" x14ac:dyDescent="0.25">
      <c r="F1475" s="3"/>
      <c r="H1475" s="1"/>
    </row>
    <row r="1476" spans="6:8" x14ac:dyDescent="0.25">
      <c r="F1476" s="3"/>
      <c r="H1476" s="1"/>
    </row>
    <row r="1477" spans="6:8" x14ac:dyDescent="0.25">
      <c r="F1477" s="3"/>
      <c r="H1477" s="1"/>
    </row>
    <row r="1478" spans="6:8" x14ac:dyDescent="0.25">
      <c r="F1478" s="3"/>
      <c r="H1478" s="1"/>
    </row>
    <row r="1479" spans="6:8" x14ac:dyDescent="0.25">
      <c r="F1479" s="3"/>
      <c r="H1479" s="1"/>
    </row>
    <row r="1480" spans="6:8" x14ac:dyDescent="0.25">
      <c r="F1480" s="3"/>
      <c r="H1480" s="1"/>
    </row>
    <row r="1481" spans="6:8" x14ac:dyDescent="0.25">
      <c r="F1481" s="3"/>
      <c r="H1481" s="1"/>
    </row>
    <row r="1482" spans="6:8" x14ac:dyDescent="0.25">
      <c r="F1482" s="3"/>
      <c r="H1482" s="1"/>
    </row>
    <row r="1483" spans="6:8" x14ac:dyDescent="0.25">
      <c r="F1483" s="3"/>
      <c r="H1483" s="1"/>
    </row>
    <row r="1484" spans="6:8" x14ac:dyDescent="0.25">
      <c r="F1484" s="3"/>
      <c r="H1484" s="1"/>
    </row>
    <row r="1485" spans="6:8" x14ac:dyDescent="0.25">
      <c r="F1485" s="3"/>
      <c r="H1485" s="1"/>
    </row>
    <row r="1486" spans="6:8" x14ac:dyDescent="0.25">
      <c r="F1486" s="3"/>
      <c r="H1486" s="1"/>
    </row>
    <row r="1487" spans="6:8" x14ac:dyDescent="0.25">
      <c r="F1487" s="3"/>
      <c r="H1487" s="1"/>
    </row>
    <row r="1488" spans="6:8" x14ac:dyDescent="0.25">
      <c r="F1488" s="3"/>
      <c r="H1488" s="1"/>
    </row>
    <row r="1489" spans="6:8" x14ac:dyDescent="0.25">
      <c r="F1489" s="3"/>
      <c r="H1489" s="1"/>
    </row>
    <row r="1490" spans="6:8" x14ac:dyDescent="0.25">
      <c r="F1490" s="3"/>
      <c r="H1490" s="1"/>
    </row>
    <row r="1491" spans="6:8" x14ac:dyDescent="0.25">
      <c r="F1491" s="3"/>
      <c r="H1491" s="1"/>
    </row>
    <row r="1492" spans="6:8" x14ac:dyDescent="0.25">
      <c r="F1492" s="3"/>
      <c r="H1492" s="1"/>
    </row>
    <row r="1493" spans="6:8" x14ac:dyDescent="0.25">
      <c r="F1493" s="3"/>
      <c r="H1493" s="1"/>
    </row>
    <row r="1494" spans="6:8" x14ac:dyDescent="0.25">
      <c r="F1494" s="3"/>
      <c r="H1494" s="1"/>
    </row>
    <row r="1495" spans="6:8" x14ac:dyDescent="0.25">
      <c r="F1495" s="3"/>
      <c r="H1495" s="1"/>
    </row>
    <row r="1496" spans="6:8" x14ac:dyDescent="0.25">
      <c r="F1496" s="3"/>
      <c r="H1496" s="1"/>
    </row>
    <row r="1497" spans="6:8" x14ac:dyDescent="0.25">
      <c r="F1497" s="3"/>
      <c r="H1497" s="1"/>
    </row>
    <row r="1498" spans="6:8" x14ac:dyDescent="0.25">
      <c r="F1498" s="3"/>
      <c r="H1498" s="1"/>
    </row>
    <row r="1499" spans="6:8" x14ac:dyDescent="0.25">
      <c r="F1499" s="3"/>
      <c r="H1499" s="1"/>
    </row>
    <row r="1500" spans="6:8" x14ac:dyDescent="0.25">
      <c r="F1500" s="3"/>
      <c r="H1500" s="1"/>
    </row>
    <row r="1501" spans="6:8" x14ac:dyDescent="0.25">
      <c r="F1501" s="3"/>
      <c r="H1501" s="1"/>
    </row>
    <row r="1502" spans="6:8" x14ac:dyDescent="0.25">
      <c r="F1502" s="3"/>
      <c r="H1502" s="1"/>
    </row>
    <row r="1503" spans="6:8" x14ac:dyDescent="0.25">
      <c r="F1503" s="3"/>
      <c r="H1503" s="1"/>
    </row>
    <row r="1504" spans="6:8" x14ac:dyDescent="0.25">
      <c r="F1504" s="3"/>
      <c r="H1504" s="1"/>
    </row>
    <row r="1505" spans="6:8" x14ac:dyDescent="0.25">
      <c r="F1505" s="3"/>
      <c r="H1505" s="1"/>
    </row>
    <row r="1506" spans="6:8" x14ac:dyDescent="0.25">
      <c r="F1506" s="3"/>
      <c r="H1506" s="1"/>
    </row>
    <row r="1507" spans="6:8" x14ac:dyDescent="0.25">
      <c r="F1507" s="3"/>
      <c r="H1507" s="1"/>
    </row>
    <row r="1508" spans="6:8" x14ac:dyDescent="0.25">
      <c r="F1508" s="3"/>
      <c r="H1508" s="1"/>
    </row>
    <row r="1509" spans="6:8" x14ac:dyDescent="0.25">
      <c r="F1509" s="3"/>
      <c r="H1509" s="1"/>
    </row>
    <row r="1510" spans="6:8" x14ac:dyDescent="0.25">
      <c r="F1510" s="3"/>
      <c r="H1510" s="1"/>
    </row>
    <row r="1511" spans="6:8" x14ac:dyDescent="0.25">
      <c r="F1511" s="3"/>
      <c r="H1511" s="1"/>
    </row>
    <row r="1512" spans="6:8" x14ac:dyDescent="0.25">
      <c r="F1512" s="3"/>
      <c r="H1512" s="1"/>
    </row>
    <row r="1513" spans="6:8" x14ac:dyDescent="0.25">
      <c r="F1513" s="3"/>
      <c r="H1513" s="1"/>
    </row>
    <row r="1514" spans="6:8" x14ac:dyDescent="0.25">
      <c r="F1514" s="3"/>
      <c r="H1514" s="1"/>
    </row>
    <row r="1515" spans="6:8" x14ac:dyDescent="0.25">
      <c r="F1515" s="3"/>
      <c r="H1515" s="1"/>
    </row>
    <row r="1516" spans="6:8" x14ac:dyDescent="0.25">
      <c r="F1516" s="3"/>
      <c r="H1516" s="1"/>
    </row>
    <row r="1517" spans="6:8" x14ac:dyDescent="0.25">
      <c r="F1517" s="3"/>
      <c r="H1517" s="1"/>
    </row>
    <row r="1518" spans="6:8" x14ac:dyDescent="0.25">
      <c r="F1518" s="3"/>
      <c r="H1518" s="1"/>
    </row>
    <row r="1519" spans="6:8" x14ac:dyDescent="0.25">
      <c r="F1519" s="3"/>
      <c r="H1519" s="1"/>
    </row>
    <row r="1520" spans="6:8" x14ac:dyDescent="0.25">
      <c r="F1520" s="3"/>
      <c r="H1520" s="1"/>
    </row>
    <row r="1521" spans="6:8" x14ac:dyDescent="0.25">
      <c r="F1521" s="3"/>
      <c r="H1521" s="1"/>
    </row>
    <row r="1522" spans="6:8" x14ac:dyDescent="0.25">
      <c r="F1522" s="3"/>
      <c r="H1522" s="1"/>
    </row>
    <row r="1523" spans="6:8" x14ac:dyDescent="0.25">
      <c r="F1523" s="3"/>
      <c r="H1523" s="1"/>
    </row>
    <row r="1524" spans="6:8" x14ac:dyDescent="0.25">
      <c r="F1524" s="3"/>
      <c r="H1524" s="1"/>
    </row>
    <row r="1525" spans="6:8" x14ac:dyDescent="0.25">
      <c r="F1525" s="3"/>
      <c r="H1525" s="1"/>
    </row>
    <row r="1526" spans="6:8" x14ac:dyDescent="0.25">
      <c r="F1526" s="3"/>
      <c r="H1526" s="1"/>
    </row>
    <row r="1527" spans="6:8" x14ac:dyDescent="0.25">
      <c r="F1527" s="3"/>
      <c r="H1527" s="1"/>
    </row>
    <row r="1528" spans="6:8" x14ac:dyDescent="0.25">
      <c r="F1528" s="3"/>
      <c r="H1528" s="1"/>
    </row>
    <row r="1529" spans="6:8" x14ac:dyDescent="0.25">
      <c r="F1529" s="3"/>
      <c r="H1529" s="1"/>
    </row>
    <row r="1530" spans="6:8" x14ac:dyDescent="0.25">
      <c r="F1530" s="3"/>
      <c r="H1530" s="1"/>
    </row>
    <row r="1531" spans="6:8" x14ac:dyDescent="0.25">
      <c r="F1531" s="3"/>
      <c r="H1531" s="1"/>
    </row>
    <row r="1532" spans="6:8" x14ac:dyDescent="0.25">
      <c r="F1532" s="3"/>
      <c r="H1532" s="1"/>
    </row>
    <row r="1533" spans="6:8" x14ac:dyDescent="0.25">
      <c r="F1533" s="3"/>
      <c r="H1533" s="1"/>
    </row>
    <row r="1534" spans="6:8" x14ac:dyDescent="0.25">
      <c r="F1534" s="3"/>
      <c r="H1534" s="1"/>
    </row>
    <row r="1535" spans="6:8" x14ac:dyDescent="0.25">
      <c r="F1535" s="3"/>
      <c r="H1535" s="1"/>
    </row>
    <row r="1536" spans="6:8" x14ac:dyDescent="0.25">
      <c r="F1536" s="3"/>
      <c r="H1536" s="1"/>
    </row>
    <row r="1537" spans="6:8" x14ac:dyDescent="0.25">
      <c r="F1537" s="3"/>
      <c r="H1537" s="1"/>
    </row>
    <row r="1538" spans="6:8" x14ac:dyDescent="0.25">
      <c r="F1538" s="3"/>
      <c r="H1538" s="1"/>
    </row>
    <row r="1539" spans="6:8" x14ac:dyDescent="0.25">
      <c r="F1539" s="3"/>
      <c r="H1539" s="1"/>
    </row>
    <row r="1540" spans="6:8" x14ac:dyDescent="0.25">
      <c r="F1540" s="3"/>
      <c r="H1540" s="1"/>
    </row>
    <row r="1541" spans="6:8" x14ac:dyDescent="0.25">
      <c r="F1541" s="3"/>
      <c r="H1541" s="1"/>
    </row>
    <row r="1542" spans="6:8" x14ac:dyDescent="0.25">
      <c r="F1542" s="3"/>
      <c r="H1542" s="1"/>
    </row>
    <row r="1543" spans="6:8" x14ac:dyDescent="0.25">
      <c r="F1543" s="3"/>
      <c r="H1543" s="1"/>
    </row>
    <row r="1544" spans="6:8" x14ac:dyDescent="0.25">
      <c r="F1544" s="3"/>
      <c r="H1544" s="1"/>
    </row>
    <row r="1545" spans="6:8" x14ac:dyDescent="0.25">
      <c r="F1545" s="3"/>
      <c r="H1545" s="1"/>
    </row>
    <row r="1546" spans="6:8" x14ac:dyDescent="0.25">
      <c r="F1546" s="3"/>
      <c r="H1546" s="1"/>
    </row>
    <row r="1547" spans="6:8" x14ac:dyDescent="0.25">
      <c r="F1547" s="3"/>
      <c r="H1547" s="1"/>
    </row>
    <row r="1548" spans="6:8" x14ac:dyDescent="0.25">
      <c r="F1548" s="3"/>
      <c r="H1548" s="1"/>
    </row>
    <row r="1549" spans="6:8" x14ac:dyDescent="0.25">
      <c r="F1549" s="3"/>
      <c r="H1549" s="1"/>
    </row>
    <row r="1550" spans="6:8" x14ac:dyDescent="0.25">
      <c r="F1550" s="3"/>
      <c r="H1550" s="1"/>
    </row>
    <row r="1551" spans="6:8" x14ac:dyDescent="0.25">
      <c r="F1551" s="3"/>
      <c r="H1551" s="1"/>
    </row>
    <row r="1552" spans="6:8" x14ac:dyDescent="0.25">
      <c r="F1552" s="3"/>
      <c r="H1552" s="1"/>
    </row>
    <row r="1553" spans="6:8" x14ac:dyDescent="0.25">
      <c r="F1553" s="3"/>
      <c r="H1553" s="1"/>
    </row>
    <row r="1554" spans="6:8" x14ac:dyDescent="0.25">
      <c r="F1554" s="3"/>
      <c r="H1554" s="1"/>
    </row>
    <row r="1555" spans="6:8" x14ac:dyDescent="0.25">
      <c r="F1555" s="3"/>
      <c r="H1555" s="1"/>
    </row>
    <row r="1556" spans="6:8" x14ac:dyDescent="0.25">
      <c r="F1556" s="3"/>
      <c r="H1556" s="1"/>
    </row>
    <row r="1557" spans="6:8" x14ac:dyDescent="0.25">
      <c r="F1557" s="3"/>
      <c r="H1557" s="1"/>
    </row>
    <row r="1558" spans="6:8" x14ac:dyDescent="0.25">
      <c r="F1558" s="3"/>
      <c r="H1558" s="1"/>
    </row>
    <row r="1559" spans="6:8" x14ac:dyDescent="0.25">
      <c r="F1559" s="3"/>
      <c r="H1559" s="1"/>
    </row>
    <row r="1560" spans="6:8" x14ac:dyDescent="0.25">
      <c r="F1560" s="3"/>
      <c r="H1560" s="1"/>
    </row>
    <row r="1561" spans="6:8" x14ac:dyDescent="0.25">
      <c r="F1561" s="3"/>
      <c r="H1561" s="1"/>
    </row>
    <row r="1562" spans="6:8" x14ac:dyDescent="0.25">
      <c r="F1562" s="3"/>
      <c r="H1562" s="1"/>
    </row>
    <row r="1563" spans="6:8" x14ac:dyDescent="0.25">
      <c r="F1563" s="3"/>
      <c r="H1563" s="1"/>
    </row>
    <row r="1564" spans="6:8" x14ac:dyDescent="0.25">
      <c r="F1564" s="3"/>
      <c r="H1564" s="1"/>
    </row>
    <row r="1565" spans="6:8" x14ac:dyDescent="0.25">
      <c r="F1565" s="3"/>
      <c r="H1565" s="1"/>
    </row>
    <row r="1566" spans="6:8" x14ac:dyDescent="0.25">
      <c r="F1566" s="3"/>
      <c r="H1566" s="1"/>
    </row>
    <row r="1567" spans="6:8" x14ac:dyDescent="0.25">
      <c r="F1567" s="3"/>
      <c r="H1567" s="1"/>
    </row>
    <row r="1568" spans="6:8" x14ac:dyDescent="0.25">
      <c r="F1568" s="3"/>
      <c r="H1568" s="1"/>
    </row>
    <row r="1569" spans="6:8" x14ac:dyDescent="0.25">
      <c r="F1569" s="3"/>
      <c r="H1569" s="1"/>
    </row>
    <row r="1570" spans="6:8" x14ac:dyDescent="0.25">
      <c r="F1570" s="3"/>
      <c r="H1570" s="1"/>
    </row>
    <row r="1571" spans="6:8" x14ac:dyDescent="0.25">
      <c r="F1571" s="3"/>
      <c r="H1571" s="1"/>
    </row>
    <row r="1572" spans="6:8" x14ac:dyDescent="0.25">
      <c r="F1572" s="3"/>
      <c r="H1572" s="1"/>
    </row>
    <row r="1573" spans="6:8" x14ac:dyDescent="0.25">
      <c r="F1573" s="3"/>
      <c r="H1573" s="1"/>
    </row>
    <row r="1574" spans="6:8" x14ac:dyDescent="0.25">
      <c r="F1574" s="3"/>
      <c r="H1574" s="1"/>
    </row>
    <row r="1575" spans="6:8" x14ac:dyDescent="0.25">
      <c r="F1575" s="3"/>
      <c r="H1575" s="1"/>
    </row>
    <row r="1576" spans="6:8" x14ac:dyDescent="0.25">
      <c r="F1576" s="3"/>
      <c r="H1576" s="1"/>
    </row>
    <row r="1577" spans="6:8" x14ac:dyDescent="0.25">
      <c r="F1577" s="3"/>
      <c r="H1577" s="1"/>
    </row>
    <row r="1578" spans="6:8" x14ac:dyDescent="0.25">
      <c r="F1578" s="3"/>
      <c r="H1578" s="1"/>
    </row>
    <row r="1579" spans="6:8" x14ac:dyDescent="0.25">
      <c r="F1579" s="3"/>
      <c r="H1579" s="1"/>
    </row>
    <row r="1580" spans="6:8" x14ac:dyDescent="0.25">
      <c r="F1580" s="3"/>
      <c r="H1580" s="1"/>
    </row>
    <row r="1581" spans="6:8" x14ac:dyDescent="0.25">
      <c r="F1581" s="3"/>
      <c r="H1581" s="1"/>
    </row>
    <row r="1582" spans="6:8" x14ac:dyDescent="0.25">
      <c r="F1582" s="3"/>
      <c r="H1582" s="1"/>
    </row>
    <row r="1583" spans="6:8" x14ac:dyDescent="0.25">
      <c r="F1583" s="3"/>
      <c r="H1583" s="1"/>
    </row>
    <row r="1584" spans="6:8" x14ac:dyDescent="0.25">
      <c r="F1584" s="3"/>
      <c r="H1584" s="1"/>
    </row>
    <row r="1585" spans="6:8" x14ac:dyDescent="0.25">
      <c r="F1585" s="3"/>
      <c r="H1585" s="1"/>
    </row>
    <row r="1586" spans="6:8" x14ac:dyDescent="0.25">
      <c r="F1586" s="3"/>
      <c r="H1586" s="1"/>
    </row>
    <row r="1587" spans="6:8" x14ac:dyDescent="0.25">
      <c r="F1587" s="3"/>
      <c r="H1587" s="1"/>
    </row>
    <row r="1588" spans="6:8" x14ac:dyDescent="0.25">
      <c r="F1588" s="3"/>
      <c r="H1588" s="1"/>
    </row>
    <row r="1589" spans="6:8" x14ac:dyDescent="0.25">
      <c r="F1589" s="3"/>
      <c r="H1589" s="1"/>
    </row>
    <row r="1590" spans="6:8" x14ac:dyDescent="0.25">
      <c r="F1590" s="3"/>
      <c r="H1590" s="1"/>
    </row>
    <row r="1591" spans="6:8" x14ac:dyDescent="0.25">
      <c r="F1591" s="3"/>
      <c r="H1591" s="1"/>
    </row>
    <row r="1592" spans="6:8" x14ac:dyDescent="0.25">
      <c r="F1592" s="3"/>
      <c r="H1592" s="1"/>
    </row>
    <row r="1593" spans="6:8" x14ac:dyDescent="0.25">
      <c r="F1593" s="3"/>
      <c r="H1593" s="1"/>
    </row>
    <row r="1594" spans="6:8" x14ac:dyDescent="0.25">
      <c r="F1594" s="3"/>
      <c r="H1594" s="1"/>
    </row>
    <row r="1595" spans="6:8" x14ac:dyDescent="0.25">
      <c r="F1595" s="3"/>
      <c r="H1595" s="1"/>
    </row>
    <row r="1596" spans="6:8" x14ac:dyDescent="0.25">
      <c r="F1596" s="3"/>
      <c r="H1596" s="1"/>
    </row>
    <row r="1597" spans="6:8" x14ac:dyDescent="0.25">
      <c r="F1597" s="3"/>
      <c r="H1597" s="1"/>
    </row>
    <row r="1598" spans="6:8" x14ac:dyDescent="0.25">
      <c r="F1598" s="3"/>
      <c r="H1598" s="1"/>
    </row>
    <row r="1599" spans="6:8" x14ac:dyDescent="0.25">
      <c r="F1599" s="3"/>
      <c r="H1599" s="1"/>
    </row>
    <row r="1600" spans="6:8" x14ac:dyDescent="0.25">
      <c r="F1600" s="3"/>
      <c r="H1600" s="1"/>
    </row>
    <row r="1601" spans="6:8" x14ac:dyDescent="0.25">
      <c r="F1601" s="3"/>
      <c r="H1601" s="1"/>
    </row>
    <row r="1602" spans="6:8" x14ac:dyDescent="0.25">
      <c r="F1602" s="3"/>
      <c r="H1602" s="1"/>
    </row>
    <row r="1603" spans="6:8" x14ac:dyDescent="0.25">
      <c r="F1603" s="3"/>
      <c r="H1603" s="1"/>
    </row>
    <row r="1604" spans="6:8" x14ac:dyDescent="0.25">
      <c r="F1604" s="3"/>
      <c r="H1604" s="1"/>
    </row>
    <row r="1605" spans="6:8" x14ac:dyDescent="0.25">
      <c r="F1605" s="3"/>
      <c r="H1605" s="1"/>
    </row>
    <row r="1606" spans="6:8" x14ac:dyDescent="0.25">
      <c r="F1606" s="3"/>
      <c r="H1606" s="1"/>
    </row>
    <row r="1607" spans="6:8" x14ac:dyDescent="0.25">
      <c r="F1607" s="3"/>
      <c r="H1607" s="1"/>
    </row>
    <row r="1608" spans="6:8" x14ac:dyDescent="0.25">
      <c r="F1608" s="3"/>
      <c r="H1608" s="1"/>
    </row>
    <row r="1609" spans="6:8" x14ac:dyDescent="0.25">
      <c r="F1609" s="3"/>
      <c r="H1609" s="1"/>
    </row>
    <row r="1610" spans="6:8" x14ac:dyDescent="0.25">
      <c r="F1610" s="3"/>
      <c r="H1610" s="1"/>
    </row>
    <row r="1611" spans="6:8" x14ac:dyDescent="0.25">
      <c r="F1611" s="3"/>
      <c r="H1611" s="1"/>
    </row>
    <row r="1612" spans="6:8" x14ac:dyDescent="0.25">
      <c r="F1612" s="3"/>
      <c r="H1612" s="1"/>
    </row>
    <row r="1613" spans="6:8" x14ac:dyDescent="0.25">
      <c r="F1613" s="3"/>
      <c r="H1613" s="1"/>
    </row>
    <row r="1614" spans="6:8" x14ac:dyDescent="0.25">
      <c r="F1614" s="3"/>
      <c r="H1614" s="1"/>
    </row>
    <row r="1615" spans="6:8" x14ac:dyDescent="0.25">
      <c r="F1615" s="3"/>
      <c r="H1615" s="1"/>
    </row>
    <row r="1616" spans="6:8" x14ac:dyDescent="0.25">
      <c r="F1616" s="3"/>
      <c r="H1616" s="1"/>
    </row>
    <row r="1617" spans="6:8" x14ac:dyDescent="0.25">
      <c r="F1617" s="3"/>
      <c r="H1617" s="1"/>
    </row>
    <row r="1618" spans="6:8" x14ac:dyDescent="0.25">
      <c r="F1618" s="3"/>
      <c r="H1618" s="1"/>
    </row>
    <row r="1619" spans="6:8" x14ac:dyDescent="0.25">
      <c r="F1619" s="3"/>
      <c r="H1619" s="1"/>
    </row>
    <row r="1620" spans="6:8" x14ac:dyDescent="0.25">
      <c r="F1620" s="3"/>
      <c r="H1620" s="1"/>
    </row>
    <row r="1621" spans="6:8" x14ac:dyDescent="0.25">
      <c r="F1621" s="3"/>
      <c r="H1621" s="1"/>
    </row>
    <row r="1622" spans="6:8" x14ac:dyDescent="0.25">
      <c r="F1622" s="3"/>
      <c r="H1622" s="1"/>
    </row>
    <row r="1623" spans="6:8" x14ac:dyDescent="0.25">
      <c r="F1623" s="3"/>
      <c r="H1623" s="1"/>
    </row>
    <row r="1624" spans="6:8" x14ac:dyDescent="0.25">
      <c r="F1624" s="3"/>
      <c r="H1624" s="1"/>
    </row>
    <row r="1625" spans="6:8" x14ac:dyDescent="0.25">
      <c r="F1625" s="3"/>
      <c r="H1625" s="1"/>
    </row>
    <row r="1626" spans="6:8" x14ac:dyDescent="0.25">
      <c r="F1626" s="3"/>
      <c r="H1626" s="1"/>
    </row>
    <row r="1627" spans="6:8" x14ac:dyDescent="0.25">
      <c r="F1627" s="3"/>
      <c r="H1627" s="1"/>
    </row>
    <row r="1628" spans="6:8" x14ac:dyDescent="0.25">
      <c r="F1628" s="3"/>
      <c r="H1628" s="1"/>
    </row>
    <row r="1629" spans="6:8" x14ac:dyDescent="0.25">
      <c r="F1629" s="3"/>
      <c r="H1629" s="1"/>
    </row>
    <row r="1630" spans="6:8" x14ac:dyDescent="0.25">
      <c r="F1630" s="3"/>
      <c r="H1630" s="1"/>
    </row>
    <row r="1631" spans="6:8" x14ac:dyDescent="0.25">
      <c r="F1631" s="3"/>
      <c r="H1631" s="1"/>
    </row>
    <row r="1632" spans="6:8" x14ac:dyDescent="0.25">
      <c r="F1632" s="3"/>
      <c r="H1632" s="1"/>
    </row>
    <row r="1633" spans="6:8" x14ac:dyDescent="0.25">
      <c r="F1633" s="3"/>
      <c r="H1633" s="1"/>
    </row>
    <row r="1634" spans="6:8" x14ac:dyDescent="0.25">
      <c r="F1634" s="3"/>
      <c r="H1634" s="1"/>
    </row>
    <row r="1635" spans="6:8" x14ac:dyDescent="0.25">
      <c r="F1635" s="3"/>
      <c r="H1635" s="1"/>
    </row>
    <row r="1636" spans="6:8" x14ac:dyDescent="0.25">
      <c r="F1636" s="3"/>
      <c r="H1636" s="1"/>
    </row>
    <row r="1637" spans="6:8" x14ac:dyDescent="0.25">
      <c r="F1637" s="3"/>
      <c r="H1637" s="1"/>
    </row>
    <row r="1638" spans="6:8" x14ac:dyDescent="0.25">
      <c r="F1638" s="3"/>
      <c r="H1638" s="1"/>
    </row>
    <row r="1639" spans="6:8" x14ac:dyDescent="0.25">
      <c r="F1639" s="3"/>
      <c r="H1639" s="1"/>
    </row>
    <row r="1640" spans="6:8" x14ac:dyDescent="0.25">
      <c r="F1640" s="3"/>
      <c r="H1640" s="1"/>
    </row>
    <row r="1641" spans="6:8" x14ac:dyDescent="0.25">
      <c r="F1641" s="3"/>
      <c r="H1641" s="1"/>
    </row>
    <row r="1642" spans="6:8" x14ac:dyDescent="0.25">
      <c r="F1642" s="3"/>
      <c r="H1642" s="1"/>
    </row>
    <row r="1643" spans="6:8" x14ac:dyDescent="0.25">
      <c r="F1643" s="3"/>
      <c r="H1643" s="1"/>
    </row>
    <row r="1644" spans="6:8" x14ac:dyDescent="0.25">
      <c r="F1644" s="3"/>
      <c r="H1644" s="1"/>
    </row>
    <row r="1645" spans="6:8" x14ac:dyDescent="0.25">
      <c r="F1645" s="3"/>
      <c r="H1645" s="1"/>
    </row>
    <row r="1646" spans="6:8" x14ac:dyDescent="0.25">
      <c r="F1646" s="3"/>
      <c r="H1646" s="1"/>
    </row>
    <row r="1647" spans="6:8" x14ac:dyDescent="0.25">
      <c r="F1647" s="3"/>
      <c r="H1647" s="1"/>
    </row>
    <row r="1648" spans="6:8" x14ac:dyDescent="0.25">
      <c r="F1648" s="3"/>
      <c r="H1648" s="1"/>
    </row>
    <row r="1649" spans="6:8" x14ac:dyDescent="0.25">
      <c r="F1649" s="3"/>
      <c r="H1649" s="1"/>
    </row>
    <row r="1650" spans="6:8" x14ac:dyDescent="0.25">
      <c r="F1650" s="3"/>
      <c r="H1650" s="1"/>
    </row>
    <row r="1651" spans="6:8" x14ac:dyDescent="0.25">
      <c r="F1651" s="3"/>
      <c r="H1651" s="1"/>
    </row>
    <row r="1652" spans="6:8" x14ac:dyDescent="0.25">
      <c r="F1652" s="3"/>
      <c r="H1652" s="1"/>
    </row>
    <row r="1653" spans="6:8" x14ac:dyDescent="0.25">
      <c r="F1653" s="3"/>
      <c r="H1653" s="1"/>
    </row>
    <row r="1654" spans="6:8" x14ac:dyDescent="0.25">
      <c r="F1654" s="3"/>
      <c r="H1654" s="1"/>
    </row>
    <row r="1655" spans="6:8" x14ac:dyDescent="0.25">
      <c r="F1655" s="3"/>
      <c r="H1655" s="1"/>
    </row>
    <row r="1656" spans="6:8" x14ac:dyDescent="0.25">
      <c r="F1656" s="3"/>
      <c r="H1656" s="1"/>
    </row>
    <row r="1657" spans="6:8" x14ac:dyDescent="0.25">
      <c r="F1657" s="3"/>
      <c r="H1657" s="1"/>
    </row>
    <row r="1658" spans="6:8" x14ac:dyDescent="0.25">
      <c r="F1658" s="3"/>
      <c r="H1658" s="1"/>
    </row>
    <row r="1659" spans="6:8" x14ac:dyDescent="0.25">
      <c r="F1659" s="3"/>
      <c r="H1659" s="1"/>
    </row>
    <row r="1660" spans="6:8" x14ac:dyDescent="0.25">
      <c r="F1660" s="3"/>
      <c r="H1660" s="1"/>
    </row>
    <row r="1661" spans="6:8" x14ac:dyDescent="0.25">
      <c r="F1661" s="3"/>
      <c r="H1661" s="1"/>
    </row>
    <row r="1662" spans="6:8" x14ac:dyDescent="0.25">
      <c r="F1662" s="3"/>
      <c r="H1662" s="1"/>
    </row>
    <row r="1663" spans="6:8" x14ac:dyDescent="0.25">
      <c r="F1663" s="3"/>
      <c r="H1663" s="1"/>
    </row>
    <row r="1664" spans="6:8" x14ac:dyDescent="0.25">
      <c r="F1664" s="3"/>
      <c r="H1664" s="1"/>
    </row>
    <row r="1665" spans="6:8" x14ac:dyDescent="0.25">
      <c r="F1665" s="3"/>
      <c r="H1665" s="1"/>
    </row>
    <row r="1666" spans="6:8" x14ac:dyDescent="0.25">
      <c r="F1666" s="3"/>
      <c r="H1666" s="1"/>
    </row>
    <row r="1667" spans="6:8" x14ac:dyDescent="0.25">
      <c r="F1667" s="3"/>
      <c r="H1667" s="1"/>
    </row>
    <row r="1668" spans="6:8" x14ac:dyDescent="0.25">
      <c r="F1668" s="3"/>
      <c r="H1668" s="1"/>
    </row>
    <row r="1669" spans="6:8" x14ac:dyDescent="0.25">
      <c r="F1669" s="3"/>
      <c r="H1669" s="1"/>
    </row>
    <row r="1670" spans="6:8" x14ac:dyDescent="0.25">
      <c r="F1670" s="3"/>
      <c r="H1670" s="1"/>
    </row>
    <row r="1671" spans="6:8" x14ac:dyDescent="0.25">
      <c r="F1671" s="3"/>
      <c r="H1671" s="1"/>
    </row>
    <row r="1672" spans="6:8" x14ac:dyDescent="0.25">
      <c r="F1672" s="3"/>
      <c r="H1672" s="1"/>
    </row>
    <row r="1673" spans="6:8" x14ac:dyDescent="0.25">
      <c r="F1673" s="3"/>
      <c r="H1673" s="1"/>
    </row>
    <row r="1674" spans="6:8" x14ac:dyDescent="0.25">
      <c r="F1674" s="3"/>
      <c r="H1674" s="1"/>
    </row>
    <row r="1675" spans="6:8" x14ac:dyDescent="0.25">
      <c r="F1675" s="3"/>
      <c r="H1675" s="1"/>
    </row>
    <row r="1676" spans="6:8" x14ac:dyDescent="0.25">
      <c r="F1676" s="3"/>
      <c r="H1676" s="1"/>
    </row>
    <row r="1677" spans="6:8" x14ac:dyDescent="0.25">
      <c r="F1677" s="3"/>
      <c r="H1677" s="1"/>
    </row>
    <row r="1678" spans="6:8" x14ac:dyDescent="0.25">
      <c r="F1678" s="3"/>
      <c r="H1678" s="1"/>
    </row>
    <row r="1679" spans="6:8" x14ac:dyDescent="0.25">
      <c r="F1679" s="3"/>
      <c r="H1679" s="1"/>
    </row>
    <row r="1680" spans="6:8" x14ac:dyDescent="0.25">
      <c r="F1680" s="3"/>
      <c r="H1680" s="1"/>
    </row>
    <row r="1681" spans="6:8" x14ac:dyDescent="0.25">
      <c r="F1681" s="3"/>
      <c r="H1681" s="1"/>
    </row>
    <row r="1682" spans="6:8" x14ac:dyDescent="0.25">
      <c r="F1682" s="3"/>
      <c r="H1682" s="1"/>
    </row>
    <row r="1683" spans="6:8" x14ac:dyDescent="0.25">
      <c r="F1683" s="3"/>
      <c r="H1683" s="1"/>
    </row>
    <row r="1684" spans="6:8" x14ac:dyDescent="0.25">
      <c r="F1684" s="3"/>
      <c r="H1684" s="1"/>
    </row>
    <row r="1685" spans="6:8" x14ac:dyDescent="0.25">
      <c r="F1685" s="3"/>
      <c r="H1685" s="1"/>
    </row>
    <row r="1686" spans="6:8" x14ac:dyDescent="0.25">
      <c r="F1686" s="3"/>
      <c r="H1686" s="1"/>
    </row>
    <row r="1687" spans="6:8" x14ac:dyDescent="0.25">
      <c r="F1687" s="3"/>
      <c r="H1687" s="1"/>
    </row>
    <row r="1688" spans="6:8" x14ac:dyDescent="0.25">
      <c r="F1688" s="3"/>
      <c r="H1688" s="1"/>
    </row>
    <row r="1689" spans="6:8" x14ac:dyDescent="0.25">
      <c r="F1689" s="3"/>
      <c r="H1689" s="1"/>
    </row>
    <row r="1690" spans="6:8" x14ac:dyDescent="0.25">
      <c r="F1690" s="3"/>
      <c r="H1690" s="1"/>
    </row>
    <row r="1691" spans="6:8" x14ac:dyDescent="0.25">
      <c r="F1691" s="3"/>
      <c r="H1691" s="1"/>
    </row>
    <row r="1692" spans="6:8" x14ac:dyDescent="0.25">
      <c r="F1692" s="3"/>
      <c r="H1692" s="1"/>
    </row>
    <row r="1693" spans="6:8" x14ac:dyDescent="0.25">
      <c r="F1693" s="3"/>
      <c r="H1693" s="1"/>
    </row>
    <row r="1694" spans="6:8" x14ac:dyDescent="0.25">
      <c r="F1694" s="3"/>
      <c r="H1694" s="1"/>
    </row>
    <row r="1695" spans="6:8" x14ac:dyDescent="0.25">
      <c r="F1695" s="3"/>
      <c r="H1695" s="1"/>
    </row>
    <row r="1696" spans="6:8" x14ac:dyDescent="0.25">
      <c r="F1696" s="3"/>
      <c r="H1696" s="1"/>
    </row>
    <row r="1697" spans="6:8" x14ac:dyDescent="0.25">
      <c r="F1697" s="3"/>
      <c r="H1697" s="1"/>
    </row>
    <row r="1698" spans="6:8" x14ac:dyDescent="0.25">
      <c r="F1698" s="3"/>
      <c r="H1698" s="1"/>
    </row>
    <row r="1699" spans="6:8" x14ac:dyDescent="0.25">
      <c r="F1699" s="3"/>
      <c r="H1699" s="1"/>
    </row>
    <row r="1700" spans="6:8" x14ac:dyDescent="0.25">
      <c r="F1700" s="3"/>
      <c r="H1700" s="1"/>
    </row>
    <row r="1701" spans="6:8" x14ac:dyDescent="0.25">
      <c r="F1701" s="3"/>
      <c r="H1701" s="1"/>
    </row>
    <row r="1702" spans="6:8" x14ac:dyDescent="0.25">
      <c r="F1702" s="3"/>
      <c r="H1702" s="1"/>
    </row>
    <row r="1703" spans="6:8" x14ac:dyDescent="0.25">
      <c r="F1703" s="3"/>
      <c r="H1703" s="1"/>
    </row>
    <row r="1704" spans="6:8" x14ac:dyDescent="0.25">
      <c r="F1704" s="3"/>
      <c r="H1704" s="1"/>
    </row>
    <row r="1705" spans="6:8" x14ac:dyDescent="0.25">
      <c r="F1705" s="3"/>
      <c r="H1705" s="1"/>
    </row>
    <row r="1706" spans="6:8" x14ac:dyDescent="0.25">
      <c r="F1706" s="3"/>
      <c r="H1706" s="1"/>
    </row>
    <row r="1707" spans="6:8" x14ac:dyDescent="0.25">
      <c r="F1707" s="3"/>
      <c r="H1707" s="1"/>
    </row>
    <row r="1708" spans="6:8" x14ac:dyDescent="0.25">
      <c r="F1708" s="3"/>
      <c r="H1708" s="1"/>
    </row>
    <row r="1709" spans="6:8" x14ac:dyDescent="0.25">
      <c r="F1709" s="3"/>
      <c r="H1709" s="1"/>
    </row>
    <row r="1710" spans="6:8" x14ac:dyDescent="0.25">
      <c r="F1710" s="3"/>
      <c r="H1710" s="1"/>
    </row>
    <row r="1711" spans="6:8" x14ac:dyDescent="0.25">
      <c r="F1711" s="3"/>
      <c r="H1711" s="1"/>
    </row>
    <row r="1712" spans="6:8" x14ac:dyDescent="0.25">
      <c r="F1712" s="3"/>
      <c r="H1712" s="1"/>
    </row>
    <row r="1713" spans="6:8" x14ac:dyDescent="0.25">
      <c r="F1713" s="3"/>
      <c r="H1713" s="1"/>
    </row>
    <row r="1714" spans="6:8" x14ac:dyDescent="0.25">
      <c r="F1714" s="3"/>
      <c r="H1714" s="1"/>
    </row>
    <row r="1715" spans="6:8" x14ac:dyDescent="0.25">
      <c r="F1715" s="3"/>
      <c r="H1715" s="1"/>
    </row>
    <row r="1716" spans="6:8" x14ac:dyDescent="0.25">
      <c r="F1716" s="3"/>
      <c r="H1716" s="1"/>
    </row>
    <row r="1717" spans="6:8" x14ac:dyDescent="0.25">
      <c r="F1717" s="3"/>
      <c r="H1717" s="1"/>
    </row>
    <row r="1718" spans="6:8" x14ac:dyDescent="0.25">
      <c r="F1718" s="3"/>
      <c r="H1718" s="1"/>
    </row>
    <row r="1719" spans="6:8" x14ac:dyDescent="0.25">
      <c r="F1719" s="3"/>
      <c r="H1719" s="1"/>
    </row>
    <row r="1720" spans="6:8" x14ac:dyDescent="0.25">
      <c r="F1720" s="3"/>
      <c r="H1720" s="1"/>
    </row>
    <row r="1721" spans="6:8" x14ac:dyDescent="0.25">
      <c r="F1721" s="3"/>
      <c r="H1721" s="1"/>
    </row>
    <row r="1722" spans="6:8" x14ac:dyDescent="0.25">
      <c r="F1722" s="3"/>
      <c r="H1722" s="1"/>
    </row>
    <row r="1723" spans="6:8" x14ac:dyDescent="0.25">
      <c r="F1723" s="3"/>
      <c r="H1723" s="1"/>
    </row>
    <row r="1724" spans="6:8" x14ac:dyDescent="0.25">
      <c r="F1724" s="3"/>
      <c r="H1724" s="1"/>
    </row>
    <row r="1725" spans="6:8" x14ac:dyDescent="0.25">
      <c r="F1725" s="3"/>
      <c r="H1725" s="1"/>
    </row>
    <row r="1726" spans="6:8" x14ac:dyDescent="0.25">
      <c r="F1726" s="3"/>
      <c r="H1726" s="1"/>
    </row>
    <row r="1727" spans="6:8" x14ac:dyDescent="0.25">
      <c r="F1727" s="3"/>
      <c r="H1727" s="1"/>
    </row>
    <row r="1728" spans="6:8" x14ac:dyDescent="0.25">
      <c r="F1728" s="3"/>
      <c r="H1728" s="1"/>
    </row>
    <row r="1729" spans="6:8" x14ac:dyDescent="0.25">
      <c r="F1729" s="3"/>
      <c r="H1729" s="1"/>
    </row>
    <row r="1730" spans="6:8" x14ac:dyDescent="0.25">
      <c r="F1730" s="3"/>
      <c r="H1730" s="1"/>
    </row>
    <row r="1731" spans="6:8" x14ac:dyDescent="0.25">
      <c r="F1731" s="3"/>
      <c r="H1731" s="1"/>
    </row>
    <row r="1732" spans="6:8" x14ac:dyDescent="0.25">
      <c r="F1732" s="3"/>
      <c r="H1732" s="1"/>
    </row>
    <row r="1733" spans="6:8" x14ac:dyDescent="0.25">
      <c r="F1733" s="3"/>
      <c r="H1733" s="1"/>
    </row>
    <row r="1734" spans="6:8" x14ac:dyDescent="0.25">
      <c r="F1734" s="3"/>
      <c r="H1734" s="1"/>
    </row>
    <row r="1735" spans="6:8" x14ac:dyDescent="0.25">
      <c r="F1735" s="3"/>
      <c r="H1735" s="1"/>
    </row>
    <row r="1736" spans="6:8" x14ac:dyDescent="0.25">
      <c r="F1736" s="3"/>
      <c r="H1736" s="1"/>
    </row>
    <row r="1737" spans="6:8" x14ac:dyDescent="0.25">
      <c r="F1737" s="3"/>
      <c r="H1737" s="1"/>
    </row>
    <row r="1738" spans="6:8" x14ac:dyDescent="0.25">
      <c r="F1738" s="3"/>
      <c r="H1738" s="1"/>
    </row>
    <row r="1739" spans="6:8" x14ac:dyDescent="0.25">
      <c r="F1739" s="3"/>
      <c r="H1739" s="1"/>
    </row>
    <row r="1740" spans="6:8" x14ac:dyDescent="0.25">
      <c r="F1740" s="3"/>
      <c r="H1740" s="1"/>
    </row>
    <row r="1741" spans="6:8" x14ac:dyDescent="0.25">
      <c r="F1741" s="3"/>
      <c r="H1741" s="1"/>
    </row>
    <row r="1742" spans="6:8" x14ac:dyDescent="0.25">
      <c r="F1742" s="3"/>
      <c r="H1742" s="1"/>
    </row>
    <row r="1743" spans="6:8" x14ac:dyDescent="0.25">
      <c r="F1743" s="3"/>
      <c r="H1743" s="1"/>
    </row>
    <row r="1744" spans="6:8" x14ac:dyDescent="0.25">
      <c r="F1744" s="3"/>
      <c r="H1744" s="1"/>
    </row>
    <row r="1745" spans="6:8" x14ac:dyDescent="0.25">
      <c r="F1745" s="3"/>
      <c r="H1745" s="1"/>
    </row>
    <row r="1746" spans="6:8" x14ac:dyDescent="0.25">
      <c r="F1746" s="3"/>
      <c r="H1746" s="1"/>
    </row>
    <row r="1747" spans="6:8" x14ac:dyDescent="0.25">
      <c r="F1747" s="3"/>
      <c r="H1747" s="1"/>
    </row>
    <row r="1748" spans="6:8" x14ac:dyDescent="0.25">
      <c r="F1748" s="3"/>
      <c r="H1748" s="1"/>
    </row>
    <row r="1749" spans="6:8" x14ac:dyDescent="0.25">
      <c r="F1749" s="3"/>
      <c r="H1749" s="1"/>
    </row>
    <row r="1750" spans="6:8" x14ac:dyDescent="0.25">
      <c r="F1750" s="3"/>
      <c r="H1750" s="1"/>
    </row>
    <row r="1751" spans="6:8" x14ac:dyDescent="0.25">
      <c r="F1751" s="3"/>
      <c r="H1751" s="1"/>
    </row>
    <row r="1752" spans="6:8" x14ac:dyDescent="0.25">
      <c r="F1752" s="3"/>
      <c r="H1752" s="1"/>
    </row>
    <row r="1753" spans="6:8" x14ac:dyDescent="0.25">
      <c r="F1753" s="3"/>
      <c r="H1753" s="1"/>
    </row>
    <row r="1754" spans="6:8" x14ac:dyDescent="0.25">
      <c r="F1754" s="3"/>
      <c r="H1754" s="1"/>
    </row>
    <row r="1755" spans="6:8" x14ac:dyDescent="0.25">
      <c r="F1755" s="3"/>
      <c r="H1755" s="1"/>
    </row>
    <row r="1756" spans="6:8" x14ac:dyDescent="0.25">
      <c r="F1756" s="3"/>
      <c r="H1756" s="1"/>
    </row>
    <row r="1757" spans="6:8" x14ac:dyDescent="0.25">
      <c r="F1757" s="3"/>
      <c r="H1757" s="1"/>
    </row>
    <row r="1758" spans="6:8" x14ac:dyDescent="0.25">
      <c r="F1758" s="3"/>
      <c r="H1758" s="1"/>
    </row>
    <row r="1759" spans="6:8" x14ac:dyDescent="0.25">
      <c r="F1759" s="3"/>
      <c r="H1759" s="1"/>
    </row>
    <row r="1760" spans="6:8" x14ac:dyDescent="0.25">
      <c r="F1760" s="3"/>
      <c r="H1760" s="1"/>
    </row>
    <row r="1761" spans="6:8" x14ac:dyDescent="0.25">
      <c r="F1761" s="3"/>
      <c r="H1761" s="1"/>
    </row>
    <row r="1762" spans="6:8" x14ac:dyDescent="0.25">
      <c r="F1762" s="3"/>
      <c r="H1762" s="1"/>
    </row>
    <row r="1763" spans="6:8" x14ac:dyDescent="0.25">
      <c r="F1763" s="3"/>
      <c r="H1763" s="1"/>
    </row>
    <row r="1764" spans="6:8" x14ac:dyDescent="0.25">
      <c r="F1764" s="3"/>
      <c r="H1764" s="1"/>
    </row>
    <row r="1765" spans="6:8" x14ac:dyDescent="0.25">
      <c r="F1765" s="3"/>
      <c r="H1765" s="1"/>
    </row>
    <row r="1766" spans="6:8" x14ac:dyDescent="0.25">
      <c r="F1766" s="3"/>
      <c r="H1766" s="1"/>
    </row>
    <row r="1767" spans="6:8" x14ac:dyDescent="0.25">
      <c r="F1767" s="3"/>
      <c r="H1767" s="1"/>
    </row>
    <row r="1768" spans="6:8" x14ac:dyDescent="0.25">
      <c r="F1768" s="3"/>
      <c r="H1768" s="1"/>
    </row>
    <row r="1769" spans="6:8" x14ac:dyDescent="0.25">
      <c r="F1769" s="3"/>
      <c r="H1769" s="1"/>
    </row>
    <row r="1770" spans="6:8" x14ac:dyDescent="0.25">
      <c r="F1770" s="3"/>
      <c r="H1770" s="1"/>
    </row>
    <row r="1771" spans="6:8" x14ac:dyDescent="0.25">
      <c r="F1771" s="3"/>
      <c r="H1771" s="1"/>
    </row>
    <row r="1772" spans="6:8" x14ac:dyDescent="0.25">
      <c r="F1772" s="3"/>
      <c r="H1772" s="1"/>
    </row>
    <row r="1773" spans="6:8" x14ac:dyDescent="0.25">
      <c r="F1773" s="3"/>
      <c r="H1773" s="1"/>
    </row>
    <row r="1774" spans="6:8" x14ac:dyDescent="0.25">
      <c r="F1774" s="3"/>
      <c r="H1774" s="1"/>
    </row>
    <row r="1775" spans="6:8" x14ac:dyDescent="0.25">
      <c r="F1775" s="3"/>
      <c r="H1775" s="1"/>
    </row>
    <row r="1776" spans="6:8" x14ac:dyDescent="0.25">
      <c r="F1776" s="3"/>
      <c r="H1776" s="1"/>
    </row>
    <row r="1777" spans="6:8" x14ac:dyDescent="0.25">
      <c r="F1777" s="3"/>
      <c r="H1777" s="1"/>
    </row>
    <row r="1778" spans="6:8" x14ac:dyDescent="0.25">
      <c r="F1778" s="3"/>
      <c r="H1778" s="1"/>
    </row>
    <row r="1779" spans="6:8" x14ac:dyDescent="0.25">
      <c r="F1779" s="3"/>
      <c r="H1779" s="1"/>
    </row>
    <row r="1780" spans="6:8" x14ac:dyDescent="0.25">
      <c r="F1780" s="3"/>
      <c r="H1780" s="1"/>
    </row>
    <row r="1781" spans="6:8" x14ac:dyDescent="0.25">
      <c r="F1781" s="3"/>
      <c r="H1781" s="1"/>
    </row>
    <row r="1782" spans="6:8" x14ac:dyDescent="0.25">
      <c r="F1782" s="3"/>
      <c r="H1782" s="1"/>
    </row>
    <row r="1783" spans="6:8" x14ac:dyDescent="0.25">
      <c r="F1783" s="3"/>
      <c r="H1783" s="1"/>
    </row>
    <row r="1784" spans="6:8" x14ac:dyDescent="0.25">
      <c r="F1784" s="3"/>
      <c r="H1784" s="1"/>
    </row>
    <row r="1785" spans="6:8" x14ac:dyDescent="0.25">
      <c r="F1785" s="3"/>
      <c r="H1785" s="1"/>
    </row>
    <row r="1786" spans="6:8" x14ac:dyDescent="0.25">
      <c r="F1786" s="3"/>
      <c r="H1786" s="1"/>
    </row>
    <row r="1787" spans="6:8" x14ac:dyDescent="0.25">
      <c r="F1787" s="3"/>
      <c r="H1787" s="1"/>
    </row>
    <row r="1788" spans="6:8" x14ac:dyDescent="0.25">
      <c r="F1788" s="3"/>
      <c r="H1788" s="1"/>
    </row>
    <row r="1789" spans="6:8" x14ac:dyDescent="0.25">
      <c r="F1789" s="3"/>
      <c r="H1789" s="1"/>
    </row>
    <row r="1790" spans="6:8" x14ac:dyDescent="0.25">
      <c r="F1790" s="3"/>
      <c r="H1790" s="1"/>
    </row>
    <row r="1791" spans="6:8" x14ac:dyDescent="0.25">
      <c r="F1791" s="3"/>
      <c r="H1791" s="1"/>
    </row>
    <row r="1792" spans="6:8" x14ac:dyDescent="0.25">
      <c r="F1792" s="3"/>
      <c r="H1792" s="1"/>
    </row>
    <row r="1793" spans="6:8" x14ac:dyDescent="0.25">
      <c r="F1793" s="3"/>
      <c r="H1793" s="1"/>
    </row>
    <row r="1794" spans="6:8" x14ac:dyDescent="0.25">
      <c r="F1794" s="3"/>
      <c r="H1794" s="1"/>
    </row>
    <row r="1795" spans="6:8" x14ac:dyDescent="0.25">
      <c r="F1795" s="3"/>
      <c r="H1795" s="1"/>
    </row>
    <row r="1796" spans="6:8" x14ac:dyDescent="0.25">
      <c r="F1796" s="3"/>
      <c r="H1796" s="1"/>
    </row>
    <row r="1797" spans="6:8" x14ac:dyDescent="0.25">
      <c r="F1797" s="3"/>
      <c r="H1797" s="1"/>
    </row>
    <row r="1798" spans="6:8" x14ac:dyDescent="0.25">
      <c r="F1798" s="3"/>
      <c r="H1798" s="1"/>
    </row>
    <row r="1799" spans="6:8" x14ac:dyDescent="0.25">
      <c r="F1799" s="3"/>
      <c r="H1799" s="1"/>
    </row>
    <row r="1800" spans="6:8" x14ac:dyDescent="0.25">
      <c r="F1800" s="3"/>
      <c r="H1800" s="1"/>
    </row>
    <row r="1801" spans="6:8" x14ac:dyDescent="0.25">
      <c r="F1801" s="3"/>
      <c r="H1801" s="1"/>
    </row>
    <row r="1802" spans="6:8" x14ac:dyDescent="0.25">
      <c r="F1802" s="3"/>
      <c r="H1802" s="1"/>
    </row>
    <row r="1803" spans="6:8" x14ac:dyDescent="0.25">
      <c r="F1803" s="3"/>
      <c r="H1803" s="1"/>
    </row>
    <row r="1804" spans="6:8" x14ac:dyDescent="0.25">
      <c r="F1804" s="3"/>
      <c r="H1804" s="1"/>
    </row>
    <row r="1805" spans="6:8" x14ac:dyDescent="0.25">
      <c r="F1805" s="3"/>
      <c r="H1805" s="1"/>
    </row>
    <row r="1806" spans="6:8" x14ac:dyDescent="0.25">
      <c r="F1806" s="3"/>
      <c r="H1806" s="1"/>
    </row>
    <row r="1807" spans="6:8" x14ac:dyDescent="0.25">
      <c r="F1807" s="3"/>
      <c r="H1807" s="1"/>
    </row>
    <row r="1808" spans="6:8" x14ac:dyDescent="0.25">
      <c r="F1808" s="3"/>
      <c r="H1808" s="1"/>
    </row>
    <row r="1809" spans="6:8" x14ac:dyDescent="0.25">
      <c r="F1809" s="3"/>
      <c r="H1809" s="1"/>
    </row>
    <row r="1810" spans="6:8" x14ac:dyDescent="0.25">
      <c r="F1810" s="3"/>
      <c r="H1810" s="1"/>
    </row>
    <row r="1811" spans="6:8" x14ac:dyDescent="0.25">
      <c r="F1811" s="3"/>
      <c r="H1811" s="1"/>
    </row>
    <row r="1812" spans="6:8" x14ac:dyDescent="0.25">
      <c r="F1812" s="3"/>
      <c r="H1812" s="1"/>
    </row>
    <row r="1813" spans="6:8" x14ac:dyDescent="0.25">
      <c r="F1813" s="3"/>
      <c r="H1813" s="1"/>
    </row>
    <row r="1814" spans="6:8" x14ac:dyDescent="0.25">
      <c r="F1814" s="3"/>
      <c r="H1814" s="1"/>
    </row>
    <row r="1815" spans="6:8" x14ac:dyDescent="0.25">
      <c r="F1815" s="3"/>
      <c r="H1815" s="1"/>
    </row>
    <row r="1816" spans="6:8" x14ac:dyDescent="0.25">
      <c r="F1816" s="3"/>
      <c r="H1816" s="1"/>
    </row>
    <row r="1817" spans="6:8" x14ac:dyDescent="0.25">
      <c r="F1817" s="3"/>
      <c r="H1817" s="1"/>
    </row>
    <row r="1818" spans="6:8" x14ac:dyDescent="0.25">
      <c r="F1818" s="3"/>
      <c r="H1818" s="1"/>
    </row>
    <row r="1819" spans="6:8" x14ac:dyDescent="0.25">
      <c r="F1819" s="3"/>
      <c r="H1819" s="1"/>
    </row>
    <row r="1820" spans="6:8" x14ac:dyDescent="0.25">
      <c r="F1820" s="3"/>
      <c r="H1820" s="1"/>
    </row>
    <row r="1821" spans="6:8" x14ac:dyDescent="0.25">
      <c r="F1821" s="3"/>
      <c r="H1821" s="1"/>
    </row>
    <row r="1822" spans="6:8" x14ac:dyDescent="0.25">
      <c r="F1822" s="3"/>
      <c r="H1822" s="1"/>
    </row>
    <row r="1823" spans="6:8" x14ac:dyDescent="0.25">
      <c r="F1823" s="3"/>
      <c r="H1823" s="1"/>
    </row>
    <row r="1824" spans="6:8" x14ac:dyDescent="0.25">
      <c r="F1824" s="3"/>
      <c r="H1824" s="1"/>
    </row>
    <row r="1825" spans="6:8" x14ac:dyDescent="0.25">
      <c r="F1825" s="3"/>
      <c r="H1825" s="1"/>
    </row>
    <row r="1826" spans="6:8" x14ac:dyDescent="0.25">
      <c r="F1826" s="3"/>
      <c r="H1826" s="1"/>
    </row>
    <row r="1827" spans="6:8" x14ac:dyDescent="0.25">
      <c r="F1827" s="3"/>
      <c r="H1827" s="1"/>
    </row>
    <row r="1828" spans="6:8" x14ac:dyDescent="0.25">
      <c r="F1828" s="3"/>
      <c r="H1828" s="1"/>
    </row>
    <row r="1829" spans="6:8" x14ac:dyDescent="0.25">
      <c r="F1829" s="3"/>
      <c r="H1829" s="1"/>
    </row>
    <row r="1830" spans="6:8" x14ac:dyDescent="0.25">
      <c r="F1830" s="3"/>
      <c r="H1830" s="1"/>
    </row>
    <row r="1831" spans="6:8" x14ac:dyDescent="0.25">
      <c r="F1831" s="3"/>
      <c r="H1831" s="1"/>
    </row>
    <row r="1832" spans="6:8" x14ac:dyDescent="0.25">
      <c r="F1832" s="3"/>
      <c r="H1832" s="1"/>
    </row>
    <row r="1833" spans="6:8" x14ac:dyDescent="0.25">
      <c r="F1833" s="3"/>
      <c r="H1833" s="1"/>
    </row>
    <row r="1834" spans="6:8" x14ac:dyDescent="0.25">
      <c r="F1834" s="3"/>
      <c r="H1834" s="1"/>
    </row>
    <row r="1835" spans="6:8" x14ac:dyDescent="0.25">
      <c r="F1835" s="3"/>
      <c r="H1835" s="1"/>
    </row>
    <row r="1836" spans="6:8" x14ac:dyDescent="0.25">
      <c r="F1836" s="3"/>
      <c r="H1836" s="1"/>
    </row>
    <row r="1837" spans="6:8" x14ac:dyDescent="0.25">
      <c r="F1837" s="3"/>
      <c r="H1837" s="1"/>
    </row>
    <row r="1838" spans="6:8" x14ac:dyDescent="0.25">
      <c r="F1838" s="3"/>
      <c r="H1838" s="1"/>
    </row>
    <row r="1839" spans="6:8" x14ac:dyDescent="0.25">
      <c r="F1839" s="3"/>
      <c r="H1839" s="1"/>
    </row>
    <row r="1840" spans="6:8" x14ac:dyDescent="0.25">
      <c r="F1840" s="3"/>
      <c r="H1840" s="1"/>
    </row>
    <row r="1841" spans="6:8" x14ac:dyDescent="0.25">
      <c r="F1841" s="3"/>
      <c r="H1841" s="1"/>
    </row>
    <row r="1842" spans="6:8" x14ac:dyDescent="0.25">
      <c r="F1842" s="3"/>
      <c r="H1842" s="1"/>
    </row>
    <row r="1843" spans="6:8" x14ac:dyDescent="0.25">
      <c r="F1843" s="3"/>
      <c r="H1843" s="1"/>
    </row>
    <row r="1844" spans="6:8" x14ac:dyDescent="0.25">
      <c r="F1844" s="3"/>
      <c r="H1844" s="1"/>
    </row>
    <row r="1845" spans="6:8" x14ac:dyDescent="0.25">
      <c r="F1845" s="3"/>
      <c r="H1845" s="1"/>
    </row>
    <row r="1846" spans="6:8" x14ac:dyDescent="0.25">
      <c r="F1846" s="3"/>
      <c r="H1846" s="1"/>
    </row>
    <row r="1847" spans="6:8" x14ac:dyDescent="0.25">
      <c r="F1847" s="3"/>
      <c r="H1847" s="1"/>
    </row>
    <row r="1848" spans="6:8" x14ac:dyDescent="0.25">
      <c r="F1848" s="3"/>
      <c r="H1848" s="1"/>
    </row>
    <row r="1849" spans="6:8" x14ac:dyDescent="0.25">
      <c r="F1849" s="3"/>
      <c r="H1849" s="1"/>
    </row>
    <row r="1850" spans="6:8" x14ac:dyDescent="0.25">
      <c r="F1850" s="3"/>
      <c r="H1850" s="1"/>
    </row>
    <row r="1851" spans="6:8" x14ac:dyDescent="0.25">
      <c r="F1851" s="3"/>
      <c r="H1851" s="1"/>
    </row>
    <row r="1852" spans="6:8" x14ac:dyDescent="0.25">
      <c r="F1852" s="3"/>
      <c r="H1852" s="1"/>
    </row>
    <row r="1853" spans="6:8" x14ac:dyDescent="0.25">
      <c r="F1853" s="3"/>
      <c r="H1853" s="1"/>
    </row>
    <row r="1854" spans="6:8" x14ac:dyDescent="0.25">
      <c r="F1854" s="3"/>
      <c r="H1854" s="1"/>
    </row>
    <row r="1855" spans="6:8" x14ac:dyDescent="0.25">
      <c r="F1855" s="3"/>
      <c r="H1855" s="1"/>
    </row>
    <row r="1856" spans="6:8" x14ac:dyDescent="0.25">
      <c r="F1856" s="3"/>
      <c r="H1856" s="1"/>
    </row>
    <row r="1857" spans="6:8" x14ac:dyDescent="0.25">
      <c r="F1857" s="3"/>
      <c r="H1857" s="1"/>
    </row>
    <row r="1858" spans="6:8" x14ac:dyDescent="0.25">
      <c r="F1858" s="3"/>
      <c r="H1858" s="1"/>
    </row>
    <row r="1859" spans="6:8" x14ac:dyDescent="0.25">
      <c r="F1859" s="3"/>
      <c r="H1859" s="1"/>
    </row>
    <row r="1860" spans="6:8" x14ac:dyDescent="0.25">
      <c r="F1860" s="3"/>
      <c r="H1860" s="1"/>
    </row>
    <row r="1861" spans="6:8" x14ac:dyDescent="0.25">
      <c r="F1861" s="3"/>
      <c r="H1861" s="1"/>
    </row>
    <row r="1862" spans="6:8" x14ac:dyDescent="0.25">
      <c r="F1862" s="3"/>
      <c r="H1862" s="1"/>
    </row>
    <row r="1863" spans="6:8" x14ac:dyDescent="0.25">
      <c r="F1863" s="3"/>
      <c r="H1863" s="1"/>
    </row>
    <row r="1864" spans="6:8" x14ac:dyDescent="0.25">
      <c r="F1864" s="3"/>
      <c r="H1864" s="1"/>
    </row>
    <row r="1865" spans="6:8" x14ac:dyDescent="0.25">
      <c r="F1865" s="3"/>
      <c r="H1865" s="1"/>
    </row>
    <row r="1866" spans="6:8" x14ac:dyDescent="0.25">
      <c r="F1866" s="3"/>
      <c r="H1866" s="1"/>
    </row>
    <row r="1867" spans="6:8" x14ac:dyDescent="0.25">
      <c r="F1867" s="3"/>
      <c r="H1867" s="1"/>
    </row>
    <row r="1868" spans="6:8" x14ac:dyDescent="0.25">
      <c r="F1868" s="3"/>
      <c r="H1868" s="1"/>
    </row>
    <row r="1869" spans="6:8" x14ac:dyDescent="0.25">
      <c r="F1869" s="3"/>
      <c r="H1869" s="1"/>
    </row>
    <row r="1870" spans="6:8" x14ac:dyDescent="0.25">
      <c r="F1870" s="3"/>
      <c r="H1870" s="1"/>
    </row>
    <row r="1871" spans="6:8" x14ac:dyDescent="0.25">
      <c r="F1871" s="3"/>
      <c r="H1871" s="1"/>
    </row>
    <row r="1872" spans="6:8" x14ac:dyDescent="0.25">
      <c r="F1872" s="3"/>
      <c r="H1872" s="1"/>
    </row>
    <row r="1873" spans="6:8" x14ac:dyDescent="0.25">
      <c r="F1873" s="3"/>
      <c r="H1873" s="1"/>
    </row>
    <row r="1874" spans="6:8" x14ac:dyDescent="0.25">
      <c r="F1874" s="3"/>
      <c r="H1874" s="1"/>
    </row>
    <row r="1875" spans="6:8" x14ac:dyDescent="0.25">
      <c r="F1875" s="3"/>
      <c r="H1875" s="1"/>
    </row>
    <row r="1876" spans="6:8" x14ac:dyDescent="0.25">
      <c r="F1876" s="3"/>
      <c r="H1876" s="1"/>
    </row>
    <row r="1877" spans="6:8" x14ac:dyDescent="0.25">
      <c r="F1877" s="3"/>
      <c r="H1877" s="1"/>
    </row>
    <row r="1878" spans="6:8" x14ac:dyDescent="0.25">
      <c r="F1878" s="3"/>
      <c r="H1878" s="1"/>
    </row>
    <row r="1879" spans="6:8" x14ac:dyDescent="0.25">
      <c r="F1879" s="3"/>
      <c r="H1879" s="1"/>
    </row>
    <row r="1880" spans="6:8" x14ac:dyDescent="0.25">
      <c r="F1880" s="3"/>
      <c r="H1880" s="1"/>
    </row>
    <row r="1881" spans="6:8" x14ac:dyDescent="0.25">
      <c r="F1881" s="3"/>
      <c r="H1881" s="1"/>
    </row>
    <row r="1882" spans="6:8" x14ac:dyDescent="0.25">
      <c r="F1882" s="3"/>
      <c r="H1882" s="1"/>
    </row>
    <row r="1883" spans="6:8" x14ac:dyDescent="0.25">
      <c r="F1883" s="3"/>
      <c r="H1883" s="1"/>
    </row>
    <row r="1884" spans="6:8" x14ac:dyDescent="0.25">
      <c r="F1884" s="3"/>
      <c r="H1884" s="1"/>
    </row>
    <row r="1885" spans="6:8" x14ac:dyDescent="0.25">
      <c r="F1885" s="3"/>
      <c r="H1885" s="1"/>
    </row>
    <row r="1886" spans="6:8" x14ac:dyDescent="0.25">
      <c r="F1886" s="3"/>
      <c r="H1886" s="1"/>
    </row>
    <row r="1887" spans="6:8" x14ac:dyDescent="0.25">
      <c r="F1887" s="3"/>
      <c r="H1887" s="1"/>
    </row>
    <row r="1888" spans="6:8" x14ac:dyDescent="0.25">
      <c r="F1888" s="3"/>
      <c r="H1888" s="1"/>
    </row>
    <row r="1889" spans="6:8" x14ac:dyDescent="0.25">
      <c r="F1889" s="3"/>
      <c r="H1889" s="1"/>
    </row>
    <row r="1890" spans="6:8" x14ac:dyDescent="0.25">
      <c r="F1890" s="3"/>
      <c r="H1890" s="1"/>
    </row>
    <row r="1891" spans="6:8" x14ac:dyDescent="0.25">
      <c r="F1891" s="3"/>
      <c r="H1891" s="1"/>
    </row>
    <row r="1892" spans="6:8" x14ac:dyDescent="0.25">
      <c r="F1892" s="3"/>
      <c r="H1892" s="1"/>
    </row>
    <row r="1893" spans="6:8" x14ac:dyDescent="0.25">
      <c r="F1893" s="3"/>
      <c r="H1893" s="1"/>
    </row>
    <row r="1894" spans="6:8" x14ac:dyDescent="0.25">
      <c r="F1894" s="3"/>
      <c r="H1894" s="1"/>
    </row>
    <row r="1895" spans="6:8" x14ac:dyDescent="0.25">
      <c r="F1895" s="3"/>
      <c r="H1895" s="1"/>
    </row>
    <row r="1896" spans="6:8" x14ac:dyDescent="0.25">
      <c r="F1896" s="3"/>
      <c r="H1896" s="1"/>
    </row>
    <row r="1897" spans="6:8" x14ac:dyDescent="0.25">
      <c r="F1897" s="3"/>
      <c r="H1897" s="1"/>
    </row>
    <row r="1898" spans="6:8" x14ac:dyDescent="0.25">
      <c r="F1898" s="3"/>
      <c r="H1898" s="1"/>
    </row>
    <row r="1899" spans="6:8" x14ac:dyDescent="0.25">
      <c r="F1899" s="3"/>
      <c r="H1899" s="1"/>
    </row>
    <row r="1900" spans="6:8" x14ac:dyDescent="0.25">
      <c r="F1900" s="3"/>
      <c r="H1900" s="1"/>
    </row>
    <row r="1901" spans="6:8" x14ac:dyDescent="0.25">
      <c r="F1901" s="3"/>
      <c r="H1901" s="1"/>
    </row>
    <row r="1902" spans="6:8" x14ac:dyDescent="0.25">
      <c r="F1902" s="3"/>
      <c r="H1902" s="1"/>
    </row>
    <row r="1903" spans="6:8" x14ac:dyDescent="0.25">
      <c r="F1903" s="3"/>
      <c r="H1903" s="1"/>
    </row>
    <row r="1904" spans="6:8" x14ac:dyDescent="0.25">
      <c r="F1904" s="3"/>
      <c r="H1904" s="1"/>
    </row>
    <row r="1905" spans="6:8" x14ac:dyDescent="0.25">
      <c r="F1905" s="3"/>
      <c r="H1905" s="1"/>
    </row>
    <row r="1906" spans="6:8" x14ac:dyDescent="0.25">
      <c r="F1906" s="3"/>
      <c r="H1906" s="1"/>
    </row>
    <row r="1907" spans="6:8" x14ac:dyDescent="0.25">
      <c r="F1907" s="3"/>
      <c r="H1907" s="1"/>
    </row>
    <row r="1908" spans="6:8" x14ac:dyDescent="0.25">
      <c r="F1908" s="3"/>
      <c r="H1908" s="1"/>
    </row>
    <row r="1909" spans="6:8" x14ac:dyDescent="0.25">
      <c r="F1909" s="3"/>
      <c r="H1909" s="1"/>
    </row>
    <row r="1910" spans="6:8" x14ac:dyDescent="0.25">
      <c r="F1910" s="3"/>
      <c r="H1910" s="1"/>
    </row>
    <row r="1911" spans="6:8" x14ac:dyDescent="0.25">
      <c r="F1911" s="3"/>
      <c r="H1911" s="1"/>
    </row>
    <row r="1912" spans="6:8" x14ac:dyDescent="0.25">
      <c r="F1912" s="3"/>
      <c r="H1912" s="1"/>
    </row>
    <row r="1913" spans="6:8" x14ac:dyDescent="0.25">
      <c r="F1913" s="3"/>
      <c r="H1913" s="1"/>
    </row>
    <row r="1914" spans="6:8" x14ac:dyDescent="0.25">
      <c r="F1914" s="3"/>
      <c r="H1914" s="1"/>
    </row>
    <row r="1915" spans="6:8" x14ac:dyDescent="0.25">
      <c r="F1915" s="3"/>
      <c r="H1915" s="1"/>
    </row>
    <row r="1916" spans="6:8" x14ac:dyDescent="0.25">
      <c r="F1916" s="3"/>
      <c r="H1916" s="1"/>
    </row>
    <row r="1917" spans="6:8" x14ac:dyDescent="0.25">
      <c r="F1917" s="3"/>
      <c r="H1917" s="1"/>
    </row>
    <row r="1918" spans="6:8" x14ac:dyDescent="0.25">
      <c r="F1918" s="3"/>
      <c r="H1918" s="1"/>
    </row>
    <row r="1919" spans="6:8" x14ac:dyDescent="0.25">
      <c r="F1919" s="3"/>
      <c r="H1919" s="1"/>
    </row>
    <row r="1920" spans="6:8" x14ac:dyDescent="0.25">
      <c r="F1920" s="3"/>
      <c r="H1920" s="1"/>
    </row>
    <row r="1921" spans="6:8" x14ac:dyDescent="0.25">
      <c r="F1921" s="3"/>
      <c r="H1921" s="1"/>
    </row>
    <row r="1922" spans="6:8" x14ac:dyDescent="0.25">
      <c r="F1922" s="3"/>
      <c r="H1922" s="1"/>
    </row>
    <row r="1923" spans="6:8" x14ac:dyDescent="0.25">
      <c r="F1923" s="3"/>
      <c r="H1923" s="1"/>
    </row>
    <row r="1924" spans="6:8" x14ac:dyDescent="0.25">
      <c r="F1924" s="3"/>
      <c r="H1924" s="1"/>
    </row>
    <row r="1925" spans="6:8" x14ac:dyDescent="0.25">
      <c r="F1925" s="3"/>
      <c r="H1925" s="1"/>
    </row>
    <row r="1926" spans="6:8" x14ac:dyDescent="0.25">
      <c r="F1926" s="3"/>
      <c r="H1926" s="1"/>
    </row>
    <row r="1927" spans="6:8" x14ac:dyDescent="0.25">
      <c r="F1927" s="3"/>
      <c r="H1927" s="1"/>
    </row>
    <row r="1928" spans="6:8" x14ac:dyDescent="0.25">
      <c r="F1928" s="3"/>
      <c r="H1928" s="1"/>
    </row>
    <row r="1929" spans="6:8" x14ac:dyDescent="0.25">
      <c r="F1929" s="3"/>
      <c r="H1929" s="1"/>
    </row>
    <row r="1930" spans="6:8" x14ac:dyDescent="0.25">
      <c r="F1930" s="3"/>
      <c r="H1930" s="1"/>
    </row>
    <row r="1931" spans="6:8" x14ac:dyDescent="0.25">
      <c r="F1931" s="3"/>
      <c r="H1931" s="1"/>
    </row>
    <row r="1932" spans="6:8" x14ac:dyDescent="0.25">
      <c r="F1932" s="3"/>
      <c r="H1932" s="1"/>
    </row>
    <row r="1933" spans="6:8" x14ac:dyDescent="0.25">
      <c r="F1933" s="3"/>
      <c r="H1933" s="1"/>
    </row>
    <row r="1934" spans="6:8" x14ac:dyDescent="0.25">
      <c r="F1934" s="3"/>
      <c r="H1934" s="1"/>
    </row>
    <row r="1935" spans="6:8" x14ac:dyDescent="0.25">
      <c r="F1935" s="3"/>
      <c r="H1935" s="1"/>
    </row>
    <row r="1936" spans="6:8" x14ac:dyDescent="0.25">
      <c r="F1936" s="3"/>
      <c r="H1936" s="1"/>
    </row>
    <row r="1937" spans="6:8" x14ac:dyDescent="0.25">
      <c r="F1937" s="3"/>
      <c r="H1937" s="1"/>
    </row>
    <row r="1938" spans="6:8" x14ac:dyDescent="0.25">
      <c r="F1938" s="3"/>
      <c r="H1938" s="1"/>
    </row>
    <row r="1939" spans="6:8" x14ac:dyDescent="0.25">
      <c r="F1939" s="3"/>
      <c r="H1939" s="1"/>
    </row>
    <row r="1940" spans="6:8" x14ac:dyDescent="0.25">
      <c r="F1940" s="3"/>
      <c r="H1940" s="1"/>
    </row>
    <row r="1941" spans="6:8" x14ac:dyDescent="0.25">
      <c r="F1941" s="3"/>
      <c r="H1941" s="1"/>
    </row>
    <row r="1942" spans="6:8" x14ac:dyDescent="0.25">
      <c r="F1942" s="3"/>
      <c r="H1942" s="1"/>
    </row>
    <row r="1943" spans="6:8" x14ac:dyDescent="0.25">
      <c r="F1943" s="3"/>
      <c r="H1943" s="1"/>
    </row>
    <row r="1944" spans="6:8" x14ac:dyDescent="0.25">
      <c r="F1944" s="3"/>
      <c r="H1944" s="1"/>
    </row>
    <row r="1945" spans="6:8" x14ac:dyDescent="0.25">
      <c r="F1945" s="3"/>
      <c r="H1945" s="1"/>
    </row>
    <row r="1946" spans="6:8" x14ac:dyDescent="0.25">
      <c r="F1946" s="3"/>
      <c r="H1946" s="1"/>
    </row>
    <row r="1947" spans="6:8" x14ac:dyDescent="0.25">
      <c r="F1947" s="3"/>
      <c r="H1947" s="1"/>
    </row>
    <row r="1948" spans="6:8" x14ac:dyDescent="0.25">
      <c r="F1948" s="3"/>
      <c r="H1948" s="1"/>
    </row>
    <row r="1949" spans="6:8" x14ac:dyDescent="0.25">
      <c r="F1949" s="3"/>
      <c r="H1949" s="1"/>
    </row>
    <row r="1950" spans="6:8" x14ac:dyDescent="0.25">
      <c r="F1950" s="3"/>
      <c r="H1950" s="1"/>
    </row>
    <row r="1951" spans="6:8" x14ac:dyDescent="0.25">
      <c r="F1951" s="3"/>
      <c r="H1951" s="1"/>
    </row>
    <row r="1952" spans="6:8" x14ac:dyDescent="0.25">
      <c r="F1952" s="3"/>
      <c r="H1952" s="1"/>
    </row>
    <row r="1953" spans="6:8" x14ac:dyDescent="0.25">
      <c r="F1953" s="3"/>
      <c r="H1953" s="1"/>
    </row>
    <row r="1954" spans="6:8" x14ac:dyDescent="0.25">
      <c r="F1954" s="3"/>
      <c r="H1954" s="1"/>
    </row>
    <row r="1955" spans="6:8" x14ac:dyDescent="0.25">
      <c r="F1955" s="3"/>
      <c r="H1955" s="1"/>
    </row>
    <row r="1956" spans="6:8" x14ac:dyDescent="0.25">
      <c r="F1956" s="3"/>
      <c r="H1956" s="1"/>
    </row>
    <row r="1957" spans="6:8" x14ac:dyDescent="0.25">
      <c r="F1957" s="3"/>
      <c r="H1957" s="1"/>
    </row>
    <row r="1958" spans="6:8" x14ac:dyDescent="0.25">
      <c r="F1958" s="3"/>
      <c r="H1958" s="1"/>
    </row>
    <row r="1959" spans="6:8" x14ac:dyDescent="0.25">
      <c r="F1959" s="3"/>
      <c r="H1959" s="1"/>
    </row>
    <row r="1960" spans="6:8" x14ac:dyDescent="0.25">
      <c r="F1960" s="3"/>
      <c r="H1960" s="1"/>
    </row>
    <row r="1961" spans="6:8" x14ac:dyDescent="0.25">
      <c r="F1961" s="3"/>
      <c r="H1961" s="1"/>
    </row>
    <row r="1962" spans="6:8" x14ac:dyDescent="0.25">
      <c r="F1962" s="3"/>
      <c r="H1962" s="1"/>
    </row>
    <row r="1963" spans="6:8" x14ac:dyDescent="0.25">
      <c r="F1963" s="3"/>
      <c r="H1963" s="1"/>
    </row>
    <row r="1964" spans="6:8" x14ac:dyDescent="0.25">
      <c r="F1964" s="3"/>
      <c r="H1964" s="1"/>
    </row>
    <row r="1965" spans="6:8" x14ac:dyDescent="0.25">
      <c r="F1965" s="3"/>
      <c r="H1965" s="1"/>
    </row>
    <row r="1966" spans="6:8" x14ac:dyDescent="0.25">
      <c r="F1966" s="3"/>
      <c r="H1966" s="1"/>
    </row>
    <row r="1967" spans="6:8" x14ac:dyDescent="0.25">
      <c r="F1967" s="3"/>
      <c r="H1967" s="1"/>
    </row>
    <row r="1968" spans="6:8" x14ac:dyDescent="0.25">
      <c r="F1968" s="3"/>
      <c r="H1968" s="1"/>
    </row>
    <row r="1969" spans="6:8" x14ac:dyDescent="0.25">
      <c r="F1969" s="3"/>
      <c r="H1969" s="1"/>
    </row>
    <row r="1970" spans="6:8" x14ac:dyDescent="0.25">
      <c r="F1970" s="3"/>
      <c r="H1970" s="1"/>
    </row>
    <row r="1971" spans="6:8" x14ac:dyDescent="0.25">
      <c r="F1971" s="3"/>
      <c r="H1971" s="1"/>
    </row>
    <row r="1972" spans="6:8" x14ac:dyDescent="0.25">
      <c r="F1972" s="3"/>
      <c r="H1972" s="1"/>
    </row>
    <row r="1973" spans="6:8" x14ac:dyDescent="0.25">
      <c r="F1973" s="3"/>
      <c r="H1973" s="1"/>
    </row>
    <row r="1974" spans="6:8" x14ac:dyDescent="0.25">
      <c r="F1974" s="3"/>
      <c r="H1974" s="1"/>
    </row>
    <row r="1975" spans="6:8" x14ac:dyDescent="0.25">
      <c r="F1975" s="3"/>
      <c r="H1975" s="1"/>
    </row>
    <row r="1976" spans="6:8" x14ac:dyDescent="0.25">
      <c r="F1976" s="3"/>
      <c r="H1976" s="1"/>
    </row>
    <row r="1977" spans="6:8" x14ac:dyDescent="0.25">
      <c r="F1977" s="3"/>
      <c r="H1977" s="1"/>
    </row>
    <row r="1978" spans="6:8" x14ac:dyDescent="0.25">
      <c r="F1978" s="3"/>
      <c r="H1978" s="1"/>
    </row>
    <row r="1979" spans="6:8" x14ac:dyDescent="0.25">
      <c r="F1979" s="3"/>
      <c r="H1979" s="1"/>
    </row>
    <row r="1980" spans="6:8" x14ac:dyDescent="0.25">
      <c r="F1980" s="3"/>
      <c r="H1980" s="1"/>
    </row>
    <row r="1981" spans="6:8" x14ac:dyDescent="0.25">
      <c r="F1981" s="3"/>
      <c r="H1981" s="1"/>
    </row>
    <row r="1982" spans="6:8" x14ac:dyDescent="0.25">
      <c r="F1982" s="3"/>
      <c r="H1982" s="1"/>
    </row>
    <row r="1983" spans="6:8" x14ac:dyDescent="0.25">
      <c r="F1983" s="3"/>
      <c r="H1983" s="1"/>
    </row>
    <row r="1984" spans="6:8" x14ac:dyDescent="0.25">
      <c r="F1984" s="3"/>
      <c r="H1984" s="1"/>
    </row>
    <row r="1985" spans="6:8" x14ac:dyDescent="0.25">
      <c r="F1985" s="3"/>
      <c r="H1985" s="1"/>
    </row>
    <row r="1986" spans="6:8" x14ac:dyDescent="0.25">
      <c r="F1986" s="3"/>
      <c r="H1986" s="1"/>
    </row>
    <row r="1987" spans="6:8" x14ac:dyDescent="0.25">
      <c r="F1987" s="3"/>
      <c r="H1987" s="1"/>
    </row>
    <row r="1988" spans="6:8" x14ac:dyDescent="0.25">
      <c r="F1988" s="3"/>
      <c r="H1988" s="1"/>
    </row>
    <row r="1989" spans="6:8" x14ac:dyDescent="0.25">
      <c r="F1989" s="3"/>
      <c r="H1989" s="1"/>
    </row>
    <row r="1990" spans="6:8" x14ac:dyDescent="0.25">
      <c r="F1990" s="3"/>
      <c r="H1990" s="1"/>
    </row>
    <row r="1991" spans="6:8" x14ac:dyDescent="0.25">
      <c r="F1991" s="3"/>
      <c r="H1991" s="1"/>
    </row>
    <row r="1992" spans="6:8" x14ac:dyDescent="0.25">
      <c r="F1992" s="3"/>
      <c r="H1992" s="1"/>
    </row>
    <row r="1993" spans="6:8" x14ac:dyDescent="0.25">
      <c r="F1993" s="3"/>
      <c r="H1993" s="1"/>
    </row>
    <row r="1994" spans="6:8" x14ac:dyDescent="0.25">
      <c r="F1994" s="3"/>
      <c r="H1994" s="1"/>
    </row>
    <row r="1995" spans="6:8" x14ac:dyDescent="0.25">
      <c r="F1995" s="3"/>
      <c r="H1995" s="1"/>
    </row>
    <row r="1996" spans="6:8" x14ac:dyDescent="0.25">
      <c r="F1996" s="3"/>
      <c r="H1996" s="1"/>
    </row>
    <row r="1997" spans="6:8" x14ac:dyDescent="0.25">
      <c r="F1997" s="3"/>
      <c r="H1997" s="1"/>
    </row>
    <row r="1998" spans="6:8" x14ac:dyDescent="0.25">
      <c r="F1998" s="3"/>
      <c r="H1998" s="1"/>
    </row>
    <row r="1999" spans="6:8" x14ac:dyDescent="0.25">
      <c r="F1999" s="3"/>
      <c r="H1999" s="1"/>
    </row>
    <row r="2000" spans="6:8" x14ac:dyDescent="0.25">
      <c r="F2000" s="3"/>
      <c r="H2000" s="1"/>
    </row>
    <row r="2001" spans="6:8" x14ac:dyDescent="0.25">
      <c r="F2001" s="3"/>
      <c r="H2001" s="1"/>
    </row>
    <row r="2002" spans="6:8" x14ac:dyDescent="0.25">
      <c r="F2002" s="3"/>
      <c r="H2002" s="1"/>
    </row>
    <row r="2003" spans="6:8" x14ac:dyDescent="0.25">
      <c r="F2003" s="3"/>
      <c r="H2003" s="1"/>
    </row>
    <row r="2004" spans="6:8" x14ac:dyDescent="0.25">
      <c r="F2004" s="3"/>
      <c r="H2004" s="1"/>
    </row>
    <row r="2005" spans="6:8" x14ac:dyDescent="0.25">
      <c r="F2005" s="3"/>
      <c r="H2005" s="1"/>
    </row>
    <row r="2006" spans="6:8" x14ac:dyDescent="0.25">
      <c r="F2006" s="3"/>
      <c r="H2006" s="1"/>
    </row>
    <row r="2007" spans="6:8" x14ac:dyDescent="0.25">
      <c r="F2007" s="3"/>
      <c r="H2007" s="1"/>
    </row>
    <row r="2008" spans="6:8" x14ac:dyDescent="0.25">
      <c r="F2008" s="3"/>
      <c r="H2008" s="1"/>
    </row>
    <row r="2009" spans="6:8" x14ac:dyDescent="0.25">
      <c r="F2009" s="3"/>
      <c r="H2009" s="1"/>
    </row>
    <row r="2010" spans="6:8" x14ac:dyDescent="0.25">
      <c r="F2010" s="3"/>
      <c r="H2010" s="1"/>
    </row>
    <row r="2011" spans="6:8" x14ac:dyDescent="0.25">
      <c r="F2011" s="3"/>
      <c r="H2011" s="1"/>
    </row>
    <row r="2012" spans="6:8" x14ac:dyDescent="0.25">
      <c r="F2012" s="3"/>
      <c r="H2012" s="1"/>
    </row>
    <row r="2013" spans="6:8" x14ac:dyDescent="0.25">
      <c r="F2013" s="3"/>
      <c r="H2013" s="1"/>
    </row>
    <row r="2014" spans="6:8" x14ac:dyDescent="0.25">
      <c r="F2014" s="3"/>
      <c r="H2014" s="1"/>
    </row>
    <row r="2015" spans="6:8" x14ac:dyDescent="0.25">
      <c r="F2015" s="3"/>
      <c r="H2015" s="1"/>
    </row>
    <row r="2016" spans="6:8" x14ac:dyDescent="0.25">
      <c r="F2016" s="3"/>
      <c r="H2016" s="1"/>
    </row>
    <row r="2017" spans="6:8" x14ac:dyDescent="0.25">
      <c r="F2017" s="3"/>
      <c r="H2017" s="1"/>
    </row>
    <row r="2018" spans="6:8" x14ac:dyDescent="0.25">
      <c r="F2018" s="3"/>
      <c r="H2018" s="1"/>
    </row>
    <row r="2019" spans="6:8" x14ac:dyDescent="0.25">
      <c r="F2019" s="3"/>
      <c r="H2019" s="1"/>
    </row>
    <row r="2020" spans="6:8" x14ac:dyDescent="0.25">
      <c r="F2020" s="3"/>
      <c r="H2020" s="1"/>
    </row>
    <row r="2021" spans="6:8" x14ac:dyDescent="0.25">
      <c r="F2021" s="3"/>
      <c r="H2021" s="1"/>
    </row>
    <row r="2022" spans="6:8" x14ac:dyDescent="0.25">
      <c r="F2022" s="3"/>
      <c r="H2022" s="1"/>
    </row>
    <row r="2023" spans="6:8" x14ac:dyDescent="0.25">
      <c r="F2023" s="3"/>
      <c r="H2023" s="1"/>
    </row>
    <row r="2024" spans="6:8" x14ac:dyDescent="0.25">
      <c r="F2024" s="3"/>
      <c r="H2024" s="1"/>
    </row>
    <row r="2025" spans="6:8" x14ac:dyDescent="0.25">
      <c r="F2025" s="3"/>
      <c r="H2025" s="1"/>
    </row>
    <row r="2026" spans="6:8" x14ac:dyDescent="0.25">
      <c r="F2026" s="3"/>
      <c r="H2026" s="1"/>
    </row>
    <row r="2027" spans="6:8" x14ac:dyDescent="0.25">
      <c r="F2027" s="3"/>
      <c r="H2027" s="1"/>
    </row>
    <row r="2028" spans="6:8" x14ac:dyDescent="0.25">
      <c r="F2028" s="3"/>
      <c r="H2028" s="1"/>
    </row>
    <row r="2029" spans="6:8" x14ac:dyDescent="0.25">
      <c r="F2029" s="3"/>
      <c r="H2029" s="1"/>
    </row>
    <row r="2030" spans="6:8" x14ac:dyDescent="0.25">
      <c r="F2030" s="3"/>
      <c r="H2030" s="1"/>
    </row>
    <row r="2031" spans="6:8" x14ac:dyDescent="0.25">
      <c r="F2031" s="3"/>
      <c r="H2031" s="1"/>
    </row>
    <row r="2032" spans="6:8" x14ac:dyDescent="0.25">
      <c r="F2032" s="3"/>
      <c r="H2032" s="1"/>
    </row>
    <row r="2033" spans="6:8" x14ac:dyDescent="0.25">
      <c r="F2033" s="3"/>
      <c r="H2033" s="1"/>
    </row>
    <row r="2034" spans="6:8" x14ac:dyDescent="0.25">
      <c r="F2034" s="3"/>
      <c r="H2034" s="1"/>
    </row>
    <row r="2035" spans="6:8" x14ac:dyDescent="0.25">
      <c r="F2035" s="3"/>
      <c r="H2035" s="1"/>
    </row>
    <row r="2036" spans="6:8" x14ac:dyDescent="0.25">
      <c r="F2036" s="3"/>
      <c r="H2036" s="1"/>
    </row>
    <row r="2037" spans="6:8" x14ac:dyDescent="0.25">
      <c r="F2037" s="3"/>
      <c r="H2037" s="1"/>
    </row>
    <row r="2038" spans="6:8" x14ac:dyDescent="0.25">
      <c r="F2038" s="3"/>
      <c r="H2038" s="1"/>
    </row>
    <row r="2039" spans="6:8" x14ac:dyDescent="0.25">
      <c r="F2039" s="3"/>
      <c r="H2039" s="1"/>
    </row>
    <row r="2040" spans="6:8" x14ac:dyDescent="0.25">
      <c r="F2040" s="3"/>
      <c r="H2040" s="1"/>
    </row>
    <row r="2041" spans="6:8" x14ac:dyDescent="0.25">
      <c r="F2041" s="3"/>
      <c r="H2041" s="1"/>
    </row>
    <row r="2042" spans="6:8" x14ac:dyDescent="0.25">
      <c r="F2042" s="3"/>
      <c r="H2042" s="1"/>
    </row>
    <row r="2043" spans="6:8" x14ac:dyDescent="0.25">
      <c r="F2043" s="3"/>
      <c r="H2043" s="1"/>
    </row>
    <row r="2044" spans="6:8" x14ac:dyDescent="0.25">
      <c r="F2044" s="3"/>
      <c r="H2044" s="1"/>
    </row>
    <row r="2045" spans="6:8" x14ac:dyDescent="0.25">
      <c r="F2045" s="3"/>
      <c r="H2045" s="1"/>
    </row>
    <row r="2046" spans="6:8" x14ac:dyDescent="0.25">
      <c r="F2046" s="3"/>
      <c r="H2046" s="1"/>
    </row>
    <row r="2047" spans="6:8" x14ac:dyDescent="0.25">
      <c r="F2047" s="3"/>
      <c r="H2047" s="1"/>
    </row>
    <row r="2048" spans="6:8" x14ac:dyDescent="0.25">
      <c r="F2048" s="3"/>
      <c r="H2048" s="1"/>
    </row>
    <row r="2049" spans="6:8" x14ac:dyDescent="0.25">
      <c r="F2049" s="3"/>
      <c r="H2049" s="1"/>
    </row>
    <row r="2050" spans="6:8" x14ac:dyDescent="0.25">
      <c r="F2050" s="3"/>
      <c r="H2050" s="1"/>
    </row>
    <row r="2051" spans="6:8" x14ac:dyDescent="0.25">
      <c r="F2051" s="3"/>
      <c r="H2051" s="1"/>
    </row>
    <row r="2052" spans="6:8" x14ac:dyDescent="0.25">
      <c r="F2052" s="3"/>
      <c r="H2052" s="1"/>
    </row>
    <row r="2053" spans="6:8" x14ac:dyDescent="0.25">
      <c r="F2053" s="3"/>
      <c r="H2053" s="1"/>
    </row>
    <row r="2054" spans="6:8" x14ac:dyDescent="0.25">
      <c r="F2054" s="3"/>
      <c r="H2054" s="1"/>
    </row>
    <row r="2055" spans="6:8" x14ac:dyDescent="0.25">
      <c r="F2055" s="3"/>
      <c r="H2055" s="1"/>
    </row>
    <row r="2056" spans="6:8" x14ac:dyDescent="0.25">
      <c r="F2056" s="3"/>
      <c r="H2056" s="1"/>
    </row>
    <row r="2057" spans="6:8" x14ac:dyDescent="0.25">
      <c r="F2057" s="3"/>
      <c r="H2057" s="1"/>
    </row>
    <row r="2058" spans="6:8" x14ac:dyDescent="0.25">
      <c r="F2058" s="3"/>
      <c r="H2058" s="1"/>
    </row>
    <row r="2059" spans="6:8" x14ac:dyDescent="0.25">
      <c r="F2059" s="3"/>
      <c r="H2059" s="1"/>
    </row>
    <row r="2060" spans="6:8" x14ac:dyDescent="0.25">
      <c r="F2060" s="3"/>
      <c r="H2060" s="1"/>
    </row>
    <row r="2061" spans="6:8" x14ac:dyDescent="0.25">
      <c r="F2061" s="3"/>
      <c r="H2061" s="1"/>
    </row>
    <row r="2062" spans="6:8" x14ac:dyDescent="0.25">
      <c r="F2062" s="3"/>
      <c r="H2062" s="1"/>
    </row>
    <row r="2063" spans="6:8" x14ac:dyDescent="0.25">
      <c r="F2063" s="3"/>
      <c r="H2063" s="1"/>
    </row>
    <row r="2064" spans="6:8" x14ac:dyDescent="0.25">
      <c r="F2064" s="3"/>
      <c r="H2064" s="1"/>
    </row>
    <row r="2065" spans="6:8" x14ac:dyDescent="0.25">
      <c r="F2065" s="3"/>
      <c r="H2065" s="1"/>
    </row>
    <row r="2066" spans="6:8" x14ac:dyDescent="0.25">
      <c r="F2066" s="3"/>
      <c r="H2066" s="1"/>
    </row>
    <row r="2067" spans="6:8" x14ac:dyDescent="0.25">
      <c r="F2067" s="3"/>
      <c r="H2067" s="1"/>
    </row>
    <row r="2068" spans="6:8" x14ac:dyDescent="0.25">
      <c r="F2068" s="3"/>
      <c r="H2068" s="1"/>
    </row>
    <row r="2069" spans="6:8" x14ac:dyDescent="0.25">
      <c r="F2069" s="3"/>
      <c r="H2069" s="1"/>
    </row>
    <row r="2070" spans="6:8" x14ac:dyDescent="0.25">
      <c r="F2070" s="3"/>
      <c r="H2070" s="1"/>
    </row>
    <row r="2071" spans="6:8" x14ac:dyDescent="0.25">
      <c r="F2071" s="3"/>
      <c r="H2071" s="1"/>
    </row>
    <row r="2072" spans="6:8" x14ac:dyDescent="0.25">
      <c r="F2072" s="3"/>
      <c r="H2072" s="1"/>
    </row>
    <row r="2073" spans="6:8" x14ac:dyDescent="0.25">
      <c r="F2073" s="3"/>
      <c r="H2073" s="1"/>
    </row>
    <row r="2074" spans="6:8" x14ac:dyDescent="0.25">
      <c r="F2074" s="3"/>
      <c r="H2074" s="1"/>
    </row>
    <row r="2075" spans="6:8" x14ac:dyDescent="0.25">
      <c r="F2075" s="3"/>
      <c r="H2075" s="1"/>
    </row>
    <row r="2076" spans="6:8" x14ac:dyDescent="0.25">
      <c r="F2076" s="3"/>
      <c r="H2076" s="1"/>
    </row>
    <row r="2077" spans="6:8" x14ac:dyDescent="0.25">
      <c r="F2077" s="3"/>
      <c r="H2077" s="1"/>
    </row>
    <row r="2078" spans="6:8" x14ac:dyDescent="0.25">
      <c r="F2078" s="3"/>
      <c r="H2078" s="1"/>
    </row>
    <row r="2079" spans="6:8" x14ac:dyDescent="0.25">
      <c r="F2079" s="3"/>
      <c r="H2079" s="1"/>
    </row>
    <row r="2080" spans="6:8" x14ac:dyDescent="0.25">
      <c r="F2080" s="3"/>
      <c r="H2080" s="1"/>
    </row>
    <row r="2081" spans="6:8" x14ac:dyDescent="0.25">
      <c r="F2081" s="3"/>
      <c r="H2081" s="1"/>
    </row>
    <row r="2082" spans="6:8" x14ac:dyDescent="0.25">
      <c r="F2082" s="3"/>
      <c r="H2082" s="1"/>
    </row>
    <row r="2083" spans="6:8" x14ac:dyDescent="0.25">
      <c r="F2083" s="3"/>
      <c r="H2083" s="1"/>
    </row>
    <row r="2084" spans="6:8" x14ac:dyDescent="0.25">
      <c r="F2084" s="3"/>
      <c r="H2084" s="1"/>
    </row>
    <row r="2085" spans="6:8" x14ac:dyDescent="0.25">
      <c r="F2085" s="3"/>
      <c r="H2085" s="1"/>
    </row>
    <row r="2086" spans="6:8" x14ac:dyDescent="0.25">
      <c r="F2086" s="3"/>
      <c r="H2086" s="1"/>
    </row>
    <row r="2087" spans="6:8" x14ac:dyDescent="0.25">
      <c r="F2087" s="3"/>
      <c r="H2087" s="1"/>
    </row>
    <row r="2088" spans="6:8" x14ac:dyDescent="0.25">
      <c r="F2088" s="3"/>
      <c r="H2088" s="1"/>
    </row>
    <row r="2089" spans="6:8" x14ac:dyDescent="0.25">
      <c r="F2089" s="3"/>
      <c r="H2089" s="1"/>
    </row>
    <row r="2090" spans="6:8" x14ac:dyDescent="0.25">
      <c r="F2090" s="3"/>
      <c r="H2090" s="1"/>
    </row>
    <row r="2091" spans="6:8" x14ac:dyDescent="0.25">
      <c r="F2091" s="3"/>
      <c r="H2091" s="1"/>
    </row>
    <row r="2092" spans="6:8" x14ac:dyDescent="0.25">
      <c r="F2092" s="3"/>
      <c r="H2092" s="1"/>
    </row>
    <row r="2093" spans="6:8" x14ac:dyDescent="0.25">
      <c r="F2093" s="3"/>
      <c r="H2093" s="1"/>
    </row>
    <row r="2094" spans="6:8" x14ac:dyDescent="0.25">
      <c r="F2094" s="3"/>
      <c r="H2094" s="1"/>
    </row>
    <row r="2095" spans="6:8" x14ac:dyDescent="0.25">
      <c r="F2095" s="3"/>
      <c r="H2095" s="1"/>
    </row>
    <row r="2096" spans="6:8" x14ac:dyDescent="0.25">
      <c r="F2096" s="3"/>
      <c r="H2096" s="1"/>
    </row>
    <row r="2097" spans="6:8" x14ac:dyDescent="0.25">
      <c r="F2097" s="3"/>
      <c r="H2097" s="1"/>
    </row>
    <row r="2098" spans="6:8" x14ac:dyDescent="0.25">
      <c r="F2098" s="3"/>
      <c r="H2098" s="1"/>
    </row>
    <row r="2099" spans="6:8" x14ac:dyDescent="0.25">
      <c r="F2099" s="3"/>
      <c r="H2099" s="1"/>
    </row>
    <row r="2100" spans="6:8" x14ac:dyDescent="0.25">
      <c r="F2100" s="3"/>
      <c r="H2100" s="1"/>
    </row>
    <row r="2101" spans="6:8" x14ac:dyDescent="0.25">
      <c r="F2101" s="3"/>
      <c r="H2101" s="1"/>
    </row>
    <row r="2102" spans="6:8" x14ac:dyDescent="0.25">
      <c r="F2102" s="3"/>
      <c r="H2102" s="1"/>
    </row>
    <row r="2103" spans="6:8" x14ac:dyDescent="0.25">
      <c r="F2103" s="3"/>
      <c r="H2103" s="1"/>
    </row>
    <row r="2104" spans="6:8" x14ac:dyDescent="0.25">
      <c r="F2104" s="3"/>
      <c r="H2104" s="1"/>
    </row>
    <row r="2105" spans="6:8" x14ac:dyDescent="0.25">
      <c r="F2105" s="3"/>
      <c r="H2105" s="1"/>
    </row>
    <row r="2106" spans="6:8" x14ac:dyDescent="0.25">
      <c r="F2106" s="3"/>
      <c r="H2106" s="1"/>
    </row>
    <row r="2107" spans="6:8" x14ac:dyDescent="0.25">
      <c r="F2107" s="3"/>
      <c r="H2107" s="1"/>
    </row>
    <row r="2108" spans="6:8" x14ac:dyDescent="0.25">
      <c r="F2108" s="3"/>
      <c r="H2108" s="1"/>
    </row>
    <row r="2109" spans="6:8" x14ac:dyDescent="0.25">
      <c r="F2109" s="3"/>
      <c r="H2109" s="1"/>
    </row>
    <row r="2110" spans="6:8" x14ac:dyDescent="0.25">
      <c r="F2110" s="3"/>
      <c r="H2110" s="1"/>
    </row>
    <row r="2111" spans="6:8" x14ac:dyDescent="0.25">
      <c r="F2111" s="3"/>
      <c r="H2111" s="1"/>
    </row>
    <row r="2112" spans="6:8" x14ac:dyDescent="0.25">
      <c r="F2112" s="3"/>
      <c r="H2112" s="1"/>
    </row>
    <row r="2113" spans="6:8" x14ac:dyDescent="0.25">
      <c r="F2113" s="3"/>
      <c r="H2113" s="1"/>
    </row>
    <row r="2114" spans="6:8" x14ac:dyDescent="0.25">
      <c r="F2114" s="3"/>
      <c r="H2114" s="1"/>
    </row>
    <row r="2115" spans="6:8" x14ac:dyDescent="0.25">
      <c r="F2115" s="3"/>
      <c r="H2115" s="1"/>
    </row>
    <row r="2116" spans="6:8" x14ac:dyDescent="0.25">
      <c r="F2116" s="3"/>
      <c r="H2116" s="1"/>
    </row>
    <row r="2117" spans="6:8" x14ac:dyDescent="0.25">
      <c r="F2117" s="3"/>
      <c r="H2117" s="1"/>
    </row>
    <row r="2118" spans="6:8" x14ac:dyDescent="0.25">
      <c r="F2118" s="3"/>
      <c r="H2118" s="1"/>
    </row>
    <row r="2119" spans="6:8" x14ac:dyDescent="0.25">
      <c r="F2119" s="3"/>
      <c r="H2119" s="1"/>
    </row>
    <row r="2120" spans="6:8" x14ac:dyDescent="0.25">
      <c r="F2120" s="3"/>
      <c r="H2120" s="1"/>
    </row>
    <row r="2121" spans="6:8" x14ac:dyDescent="0.25">
      <c r="F2121" s="3"/>
      <c r="H2121" s="1"/>
    </row>
    <row r="2122" spans="6:8" x14ac:dyDescent="0.25">
      <c r="F2122" s="3"/>
      <c r="H2122" s="1"/>
    </row>
    <row r="2123" spans="6:8" x14ac:dyDescent="0.25">
      <c r="F2123" s="3"/>
      <c r="H2123" s="1"/>
    </row>
    <row r="2124" spans="6:8" x14ac:dyDescent="0.25">
      <c r="F2124" s="3"/>
      <c r="H2124" s="1"/>
    </row>
    <row r="2125" spans="6:8" x14ac:dyDescent="0.25">
      <c r="F2125" s="3"/>
      <c r="H2125" s="1"/>
    </row>
    <row r="2126" spans="6:8" x14ac:dyDescent="0.25">
      <c r="F2126" s="3"/>
      <c r="H2126" s="1"/>
    </row>
    <row r="2127" spans="6:8" x14ac:dyDescent="0.25">
      <c r="F2127" s="3"/>
      <c r="H2127" s="1"/>
    </row>
    <row r="2128" spans="6:8" x14ac:dyDescent="0.25">
      <c r="F2128" s="3"/>
      <c r="H2128" s="1"/>
    </row>
    <row r="2129" spans="6:8" x14ac:dyDescent="0.25">
      <c r="F2129" s="3"/>
      <c r="H2129" s="1"/>
    </row>
    <row r="2130" spans="6:8" x14ac:dyDescent="0.25">
      <c r="F2130" s="3"/>
      <c r="H2130" s="1"/>
    </row>
    <row r="2131" spans="6:8" x14ac:dyDescent="0.25">
      <c r="F2131" s="3"/>
      <c r="H2131" s="1"/>
    </row>
    <row r="2132" spans="6:8" x14ac:dyDescent="0.25">
      <c r="F2132" s="3"/>
      <c r="H2132" s="1"/>
    </row>
    <row r="2133" spans="6:8" x14ac:dyDescent="0.25">
      <c r="F2133" s="3"/>
      <c r="H2133" s="1"/>
    </row>
    <row r="2134" spans="6:8" x14ac:dyDescent="0.25">
      <c r="F2134" s="3"/>
      <c r="H2134" s="1"/>
    </row>
    <row r="2135" spans="6:8" x14ac:dyDescent="0.25">
      <c r="F2135" s="3"/>
      <c r="H2135" s="1"/>
    </row>
    <row r="2136" spans="6:8" x14ac:dyDescent="0.25">
      <c r="F2136" s="3"/>
      <c r="H2136" s="1"/>
    </row>
    <row r="2137" spans="6:8" x14ac:dyDescent="0.25">
      <c r="F2137" s="3"/>
      <c r="H2137" s="1"/>
    </row>
    <row r="2138" spans="6:8" x14ac:dyDescent="0.25">
      <c r="F2138" s="3"/>
      <c r="H2138" s="1"/>
    </row>
    <row r="2139" spans="6:8" x14ac:dyDescent="0.25">
      <c r="F2139" s="3"/>
      <c r="H2139" s="1"/>
    </row>
    <row r="2140" spans="6:8" x14ac:dyDescent="0.25">
      <c r="F2140" s="3"/>
      <c r="H2140" s="1"/>
    </row>
    <row r="2141" spans="6:8" x14ac:dyDescent="0.25">
      <c r="F2141" s="3"/>
      <c r="H2141" s="1"/>
    </row>
    <row r="2142" spans="6:8" x14ac:dyDescent="0.25">
      <c r="F2142" s="3"/>
      <c r="H2142" s="1"/>
    </row>
    <row r="2143" spans="6:8" x14ac:dyDescent="0.25">
      <c r="F2143" s="3"/>
      <c r="H2143" s="1"/>
    </row>
    <row r="2144" spans="6:8" x14ac:dyDescent="0.25">
      <c r="F2144" s="3"/>
      <c r="H2144" s="1"/>
    </row>
    <row r="2145" spans="6:8" x14ac:dyDescent="0.25">
      <c r="F2145" s="3"/>
      <c r="H2145" s="1"/>
    </row>
    <row r="2146" spans="6:8" x14ac:dyDescent="0.25">
      <c r="F2146" s="3"/>
      <c r="H2146" s="1"/>
    </row>
    <row r="2147" spans="6:8" x14ac:dyDescent="0.25">
      <c r="F2147" s="3"/>
      <c r="H2147" s="1"/>
    </row>
    <row r="2148" spans="6:8" x14ac:dyDescent="0.25">
      <c r="F2148" s="3"/>
      <c r="H2148" s="1"/>
    </row>
    <row r="2149" spans="6:8" x14ac:dyDescent="0.25">
      <c r="F2149" s="3"/>
      <c r="H2149" s="1"/>
    </row>
    <row r="2150" spans="6:8" x14ac:dyDescent="0.25">
      <c r="F2150" s="3"/>
      <c r="H2150" s="1"/>
    </row>
    <row r="2151" spans="6:8" x14ac:dyDescent="0.25">
      <c r="F2151" s="3"/>
      <c r="H2151" s="1"/>
    </row>
    <row r="2152" spans="6:8" x14ac:dyDescent="0.25">
      <c r="F2152" s="3"/>
      <c r="H2152" s="1"/>
    </row>
    <row r="2153" spans="6:8" x14ac:dyDescent="0.25">
      <c r="F2153" s="3"/>
      <c r="H2153" s="1"/>
    </row>
    <row r="2154" spans="6:8" x14ac:dyDescent="0.25">
      <c r="F2154" s="3"/>
      <c r="H2154" s="1"/>
    </row>
    <row r="2155" spans="6:8" x14ac:dyDescent="0.25">
      <c r="F2155" s="3"/>
      <c r="H2155" s="1"/>
    </row>
    <row r="2156" spans="6:8" x14ac:dyDescent="0.25">
      <c r="F2156" s="3"/>
      <c r="H2156" s="1"/>
    </row>
    <row r="2157" spans="6:8" x14ac:dyDescent="0.25">
      <c r="F2157" s="3"/>
      <c r="H2157" s="1"/>
    </row>
    <row r="2158" spans="6:8" x14ac:dyDescent="0.25">
      <c r="F2158" s="3"/>
      <c r="H2158" s="1"/>
    </row>
    <row r="2159" spans="6:8" x14ac:dyDescent="0.25">
      <c r="F2159" s="3"/>
      <c r="H2159" s="1"/>
    </row>
    <row r="2160" spans="6:8" x14ac:dyDescent="0.25">
      <c r="F2160" s="3"/>
      <c r="H2160" s="1"/>
    </row>
    <row r="2161" spans="6:8" x14ac:dyDescent="0.25">
      <c r="F2161" s="3"/>
      <c r="H2161" s="1"/>
    </row>
    <row r="2162" spans="6:8" x14ac:dyDescent="0.25">
      <c r="F2162" s="3"/>
      <c r="H2162" s="1"/>
    </row>
    <row r="2163" spans="6:8" x14ac:dyDescent="0.25">
      <c r="F2163" s="3"/>
      <c r="H2163" s="1"/>
    </row>
    <row r="2164" spans="6:8" x14ac:dyDescent="0.25">
      <c r="F2164" s="3"/>
      <c r="H2164" s="1"/>
    </row>
    <row r="2165" spans="6:8" x14ac:dyDescent="0.25">
      <c r="F2165" s="3"/>
      <c r="H2165" s="1"/>
    </row>
    <row r="2166" spans="6:8" x14ac:dyDescent="0.25">
      <c r="F2166" s="3"/>
      <c r="H2166" s="1"/>
    </row>
    <row r="2167" spans="6:8" x14ac:dyDescent="0.25">
      <c r="F2167" s="3"/>
      <c r="H2167" s="1"/>
    </row>
    <row r="2168" spans="6:8" x14ac:dyDescent="0.25">
      <c r="F2168" s="3"/>
      <c r="H2168" s="1"/>
    </row>
    <row r="2169" spans="6:8" x14ac:dyDescent="0.25">
      <c r="F2169" s="3"/>
      <c r="H2169" s="1"/>
    </row>
    <row r="2170" spans="6:8" x14ac:dyDescent="0.25">
      <c r="F2170" s="3"/>
      <c r="H2170" s="1"/>
    </row>
    <row r="2171" spans="6:8" x14ac:dyDescent="0.25">
      <c r="F2171" s="3"/>
      <c r="H2171" s="1"/>
    </row>
    <row r="2172" spans="6:8" x14ac:dyDescent="0.25">
      <c r="F2172" s="3"/>
      <c r="H2172" s="1"/>
    </row>
    <row r="2173" spans="6:8" x14ac:dyDescent="0.25">
      <c r="F2173" s="3"/>
      <c r="H2173" s="1"/>
    </row>
    <row r="2174" spans="6:8" x14ac:dyDescent="0.25">
      <c r="F2174" s="3"/>
      <c r="H2174" s="1"/>
    </row>
    <row r="2175" spans="6:8" x14ac:dyDescent="0.25">
      <c r="F2175" s="3"/>
      <c r="H2175" s="1"/>
    </row>
    <row r="2176" spans="6:8" x14ac:dyDescent="0.25">
      <c r="F2176" s="3"/>
      <c r="H2176" s="1"/>
    </row>
    <row r="2177" spans="6:8" x14ac:dyDescent="0.25">
      <c r="F2177" s="3"/>
      <c r="H2177" s="1"/>
    </row>
    <row r="2178" spans="6:8" x14ac:dyDescent="0.25">
      <c r="F2178" s="3"/>
      <c r="H2178" s="1"/>
    </row>
    <row r="2179" spans="6:8" x14ac:dyDescent="0.25">
      <c r="F2179" s="3"/>
      <c r="H2179" s="1"/>
    </row>
    <row r="2180" spans="6:8" x14ac:dyDescent="0.25">
      <c r="F2180" s="3"/>
      <c r="H2180" s="1"/>
    </row>
    <row r="2181" spans="6:8" x14ac:dyDescent="0.25">
      <c r="F2181" s="3"/>
      <c r="H2181" s="1"/>
    </row>
    <row r="2182" spans="6:8" x14ac:dyDescent="0.25">
      <c r="F2182" s="3"/>
      <c r="H2182" s="1"/>
    </row>
    <row r="2183" spans="6:8" x14ac:dyDescent="0.25">
      <c r="F2183" s="3"/>
      <c r="H2183" s="1"/>
    </row>
    <row r="2184" spans="6:8" x14ac:dyDescent="0.25">
      <c r="F2184" s="3"/>
      <c r="H2184" s="1"/>
    </row>
    <row r="2185" spans="6:8" x14ac:dyDescent="0.25">
      <c r="F2185" s="3"/>
      <c r="H2185" s="1"/>
    </row>
    <row r="2186" spans="6:8" x14ac:dyDescent="0.25">
      <c r="F2186" s="3"/>
      <c r="H2186" s="1"/>
    </row>
    <row r="2187" spans="6:8" x14ac:dyDescent="0.25">
      <c r="F2187" s="3"/>
      <c r="H2187" s="1"/>
    </row>
    <row r="2188" spans="6:8" x14ac:dyDescent="0.25">
      <c r="F2188" s="3"/>
      <c r="H2188" s="1"/>
    </row>
    <row r="2189" spans="6:8" x14ac:dyDescent="0.25">
      <c r="F2189" s="3"/>
      <c r="H2189" s="1"/>
    </row>
    <row r="2190" spans="6:8" x14ac:dyDescent="0.25">
      <c r="F2190" s="3"/>
      <c r="H2190" s="1"/>
    </row>
    <row r="2191" spans="6:8" x14ac:dyDescent="0.25">
      <c r="F2191" s="3"/>
      <c r="H2191" s="1"/>
    </row>
    <row r="2192" spans="6:8" x14ac:dyDescent="0.25">
      <c r="F2192" s="3"/>
      <c r="H2192" s="1"/>
    </row>
    <row r="2193" spans="6:8" x14ac:dyDescent="0.25">
      <c r="F2193" s="3"/>
      <c r="H2193" s="1"/>
    </row>
    <row r="2194" spans="6:8" x14ac:dyDescent="0.25">
      <c r="F2194" s="3"/>
      <c r="H2194" s="1"/>
    </row>
    <row r="2195" spans="6:8" x14ac:dyDescent="0.25">
      <c r="F2195" s="3"/>
      <c r="H2195" s="1"/>
    </row>
    <row r="2196" spans="6:8" x14ac:dyDescent="0.25">
      <c r="F2196" s="3"/>
      <c r="H2196" s="1"/>
    </row>
    <row r="2197" spans="6:8" x14ac:dyDescent="0.25">
      <c r="F2197" s="3"/>
      <c r="H2197" s="1"/>
    </row>
    <row r="2198" spans="6:8" x14ac:dyDescent="0.25">
      <c r="F2198" s="3"/>
      <c r="H2198" s="1"/>
    </row>
    <row r="2199" spans="6:8" x14ac:dyDescent="0.25">
      <c r="F2199" s="3"/>
      <c r="H2199" s="1"/>
    </row>
    <row r="2200" spans="6:8" x14ac:dyDescent="0.25">
      <c r="F2200" s="3"/>
      <c r="H2200" s="1"/>
    </row>
    <row r="2201" spans="6:8" x14ac:dyDescent="0.25">
      <c r="F2201" s="3"/>
      <c r="H2201" s="1"/>
    </row>
    <row r="2202" spans="6:8" x14ac:dyDescent="0.25">
      <c r="F2202" s="3"/>
      <c r="H2202" s="1"/>
    </row>
    <row r="2203" spans="6:8" x14ac:dyDescent="0.25">
      <c r="F2203" s="3"/>
      <c r="H2203" s="1"/>
    </row>
    <row r="2204" spans="6:8" x14ac:dyDescent="0.25">
      <c r="F2204" s="3"/>
      <c r="H2204" s="1"/>
    </row>
    <row r="2205" spans="6:8" x14ac:dyDescent="0.25">
      <c r="F2205" s="3"/>
      <c r="H2205" s="1"/>
    </row>
    <row r="2206" spans="6:8" x14ac:dyDescent="0.25">
      <c r="F2206" s="3"/>
      <c r="H2206" s="1"/>
    </row>
    <row r="2207" spans="6:8" x14ac:dyDescent="0.25">
      <c r="F2207" s="3"/>
      <c r="H2207" s="1"/>
    </row>
    <row r="2208" spans="6:8" x14ac:dyDescent="0.25">
      <c r="F2208" s="3"/>
      <c r="H2208" s="1"/>
    </row>
    <row r="2209" spans="6:8" x14ac:dyDescent="0.25">
      <c r="F2209" s="3"/>
      <c r="H2209" s="1"/>
    </row>
    <row r="2210" spans="6:8" x14ac:dyDescent="0.25">
      <c r="F2210" s="3"/>
      <c r="H2210" s="1"/>
    </row>
    <row r="2211" spans="6:8" x14ac:dyDescent="0.25">
      <c r="F2211" s="3"/>
      <c r="H2211" s="1"/>
    </row>
    <row r="2212" spans="6:8" x14ac:dyDescent="0.25">
      <c r="F2212" s="3"/>
      <c r="H2212" s="1"/>
    </row>
    <row r="2213" spans="6:8" x14ac:dyDescent="0.25">
      <c r="F2213" s="3"/>
      <c r="H2213" s="1"/>
    </row>
    <row r="2214" spans="6:8" x14ac:dyDescent="0.25">
      <c r="F2214" s="3"/>
      <c r="H2214" s="1"/>
    </row>
    <row r="2215" spans="6:8" x14ac:dyDescent="0.25">
      <c r="F2215" s="3"/>
      <c r="H2215" s="1"/>
    </row>
    <row r="2216" spans="6:8" x14ac:dyDescent="0.25">
      <c r="F2216" s="3"/>
      <c r="H2216" s="1"/>
    </row>
    <row r="2217" spans="6:8" x14ac:dyDescent="0.25">
      <c r="F2217" s="3"/>
      <c r="H2217" s="1"/>
    </row>
    <row r="2218" spans="6:8" x14ac:dyDescent="0.25">
      <c r="F2218" s="3"/>
      <c r="H2218" s="1"/>
    </row>
    <row r="2219" spans="6:8" x14ac:dyDescent="0.25">
      <c r="F2219" s="3"/>
      <c r="H2219" s="1"/>
    </row>
    <row r="2220" spans="6:8" x14ac:dyDescent="0.25">
      <c r="F2220" s="3"/>
      <c r="H2220" s="1"/>
    </row>
    <row r="2221" spans="6:8" x14ac:dyDescent="0.25">
      <c r="F2221" s="3"/>
      <c r="H2221" s="1"/>
    </row>
    <row r="2222" spans="6:8" x14ac:dyDescent="0.25">
      <c r="F2222" s="3"/>
      <c r="H2222" s="1"/>
    </row>
    <row r="2223" spans="6:8" x14ac:dyDescent="0.25">
      <c r="F2223" s="3"/>
      <c r="H2223" s="1"/>
    </row>
    <row r="2224" spans="6:8" x14ac:dyDescent="0.25">
      <c r="F2224" s="3"/>
      <c r="H2224" s="1"/>
    </row>
    <row r="2225" spans="6:8" x14ac:dyDescent="0.25">
      <c r="F2225" s="3"/>
      <c r="H2225" s="1"/>
    </row>
    <row r="2226" spans="6:8" x14ac:dyDescent="0.25">
      <c r="F2226" s="3"/>
      <c r="H2226" s="1"/>
    </row>
    <row r="2227" spans="6:8" x14ac:dyDescent="0.25">
      <c r="F2227" s="3"/>
      <c r="H2227" s="1"/>
    </row>
    <row r="2228" spans="6:8" x14ac:dyDescent="0.25">
      <c r="F2228" s="3"/>
      <c r="H2228" s="1"/>
    </row>
    <row r="2229" spans="6:8" x14ac:dyDescent="0.25">
      <c r="F2229" s="3"/>
      <c r="H2229" s="1"/>
    </row>
    <row r="2230" spans="6:8" x14ac:dyDescent="0.25">
      <c r="F2230" s="3"/>
      <c r="H2230" s="1"/>
    </row>
    <row r="2231" spans="6:8" x14ac:dyDescent="0.25">
      <c r="F2231" s="3"/>
      <c r="H2231" s="1"/>
    </row>
    <row r="2232" spans="6:8" x14ac:dyDescent="0.25">
      <c r="F2232" s="3"/>
      <c r="H2232" s="1"/>
    </row>
    <row r="2233" spans="6:8" x14ac:dyDescent="0.25">
      <c r="F2233" s="3"/>
      <c r="H2233" s="1"/>
    </row>
    <row r="2234" spans="6:8" x14ac:dyDescent="0.25">
      <c r="F2234" s="3"/>
      <c r="H2234" s="1"/>
    </row>
    <row r="2235" spans="6:8" x14ac:dyDescent="0.25">
      <c r="F2235" s="3"/>
      <c r="H2235" s="1"/>
    </row>
    <row r="2236" spans="6:8" x14ac:dyDescent="0.25">
      <c r="F2236" s="3"/>
      <c r="H2236" s="1"/>
    </row>
    <row r="2237" spans="6:8" x14ac:dyDescent="0.25">
      <c r="F2237" s="3"/>
      <c r="H2237" s="1"/>
    </row>
    <row r="2238" spans="6:8" x14ac:dyDescent="0.25">
      <c r="F2238" s="3"/>
      <c r="H2238" s="1"/>
    </row>
    <row r="2239" spans="6:8" x14ac:dyDescent="0.25">
      <c r="F2239" s="3"/>
      <c r="H2239" s="1"/>
    </row>
    <row r="2240" spans="6:8" x14ac:dyDescent="0.25">
      <c r="F2240" s="3"/>
      <c r="H2240" s="1"/>
    </row>
    <row r="2241" spans="6:8" x14ac:dyDescent="0.25">
      <c r="F2241" s="3"/>
      <c r="H2241" s="1"/>
    </row>
    <row r="2242" spans="6:8" x14ac:dyDescent="0.25">
      <c r="F2242" s="3"/>
      <c r="H2242" s="1"/>
    </row>
    <row r="2243" spans="6:8" x14ac:dyDescent="0.25">
      <c r="F2243" s="3"/>
      <c r="H2243" s="1"/>
    </row>
    <row r="2244" spans="6:8" x14ac:dyDescent="0.25">
      <c r="F2244" s="3"/>
      <c r="H2244" s="1"/>
    </row>
    <row r="2245" spans="6:8" x14ac:dyDescent="0.25">
      <c r="F2245" s="3"/>
      <c r="H2245" s="1"/>
    </row>
    <row r="2246" spans="6:8" x14ac:dyDescent="0.25">
      <c r="F2246" s="3"/>
      <c r="H2246" s="1"/>
    </row>
    <row r="2247" spans="6:8" x14ac:dyDescent="0.25">
      <c r="F2247" s="3"/>
      <c r="H2247" s="1"/>
    </row>
    <row r="2248" spans="6:8" x14ac:dyDescent="0.25">
      <c r="F2248" s="3"/>
      <c r="H2248" s="1"/>
    </row>
    <row r="2249" spans="6:8" x14ac:dyDescent="0.25">
      <c r="F2249" s="3"/>
      <c r="H2249" s="1"/>
    </row>
    <row r="2250" spans="6:8" x14ac:dyDescent="0.25">
      <c r="F2250" s="3"/>
      <c r="H2250" s="1"/>
    </row>
    <row r="2251" spans="6:8" x14ac:dyDescent="0.25">
      <c r="F2251" s="3"/>
      <c r="H2251" s="1"/>
    </row>
    <row r="2252" spans="6:8" x14ac:dyDescent="0.25">
      <c r="F2252" s="3"/>
      <c r="H2252" s="1"/>
    </row>
    <row r="2253" spans="6:8" x14ac:dyDescent="0.25">
      <c r="F2253" s="3"/>
      <c r="H2253" s="1"/>
    </row>
    <row r="2254" spans="6:8" x14ac:dyDescent="0.25">
      <c r="F2254" s="3"/>
      <c r="H2254" s="1"/>
    </row>
    <row r="2255" spans="6:8" x14ac:dyDescent="0.25">
      <c r="F2255" s="3"/>
      <c r="H2255" s="1"/>
    </row>
    <row r="2256" spans="6:8" x14ac:dyDescent="0.25">
      <c r="F2256" s="3"/>
      <c r="H2256" s="1"/>
    </row>
    <row r="2257" spans="6:8" x14ac:dyDescent="0.25">
      <c r="F2257" s="3"/>
      <c r="H2257" s="1"/>
    </row>
    <row r="2258" spans="6:8" x14ac:dyDescent="0.25">
      <c r="F2258" s="3"/>
      <c r="H2258" s="1"/>
    </row>
    <row r="2259" spans="6:8" x14ac:dyDescent="0.25">
      <c r="F2259" s="3"/>
      <c r="H2259" s="1"/>
    </row>
    <row r="2260" spans="6:8" x14ac:dyDescent="0.25">
      <c r="F2260" s="3"/>
      <c r="H2260" s="1"/>
    </row>
    <row r="2261" spans="6:8" x14ac:dyDescent="0.25">
      <c r="F2261" s="3"/>
      <c r="H2261" s="1"/>
    </row>
    <row r="2262" spans="6:8" x14ac:dyDescent="0.25">
      <c r="F2262" s="3"/>
      <c r="H2262" s="1"/>
    </row>
    <row r="2263" spans="6:8" x14ac:dyDescent="0.25">
      <c r="F2263" s="3"/>
      <c r="H2263" s="1"/>
    </row>
    <row r="2264" spans="6:8" x14ac:dyDescent="0.25">
      <c r="F2264" s="3"/>
      <c r="H2264" s="1"/>
    </row>
    <row r="2265" spans="6:8" x14ac:dyDescent="0.25">
      <c r="F2265" s="3"/>
      <c r="H2265" s="1"/>
    </row>
    <row r="2266" spans="6:8" x14ac:dyDescent="0.25">
      <c r="F2266" s="3"/>
      <c r="H2266" s="1"/>
    </row>
    <row r="2267" spans="6:8" x14ac:dyDescent="0.25">
      <c r="F2267" s="3"/>
      <c r="H2267" s="1"/>
    </row>
    <row r="2268" spans="6:8" x14ac:dyDescent="0.25">
      <c r="F2268" s="3"/>
      <c r="H2268" s="1"/>
    </row>
    <row r="2269" spans="6:8" x14ac:dyDescent="0.25">
      <c r="F2269" s="3"/>
      <c r="H2269" s="1"/>
    </row>
    <row r="2270" spans="6:8" x14ac:dyDescent="0.25">
      <c r="F2270" s="3"/>
      <c r="H2270" s="1"/>
    </row>
    <row r="2271" spans="6:8" x14ac:dyDescent="0.25">
      <c r="F2271" s="3"/>
      <c r="H2271" s="1"/>
    </row>
    <row r="2272" spans="6:8" x14ac:dyDescent="0.25">
      <c r="F2272" s="3"/>
      <c r="H2272" s="1"/>
    </row>
    <row r="2273" spans="6:8" x14ac:dyDescent="0.25">
      <c r="F2273" s="3"/>
      <c r="H2273" s="1"/>
    </row>
    <row r="2274" spans="6:8" x14ac:dyDescent="0.25">
      <c r="F2274" s="3"/>
      <c r="H2274" s="1"/>
    </row>
    <row r="2275" spans="6:8" x14ac:dyDescent="0.25">
      <c r="F2275" s="3"/>
      <c r="H2275" s="1"/>
    </row>
    <row r="2276" spans="6:8" x14ac:dyDescent="0.25">
      <c r="F2276" s="3"/>
      <c r="H2276" s="1"/>
    </row>
    <row r="2277" spans="6:8" x14ac:dyDescent="0.25">
      <c r="F2277" s="3"/>
      <c r="H2277" s="1"/>
    </row>
    <row r="2278" spans="6:8" x14ac:dyDescent="0.25">
      <c r="F2278" s="3"/>
      <c r="H2278" s="1"/>
    </row>
    <row r="2279" spans="6:8" x14ac:dyDescent="0.25">
      <c r="F2279" s="3"/>
      <c r="H2279" s="1"/>
    </row>
    <row r="2280" spans="6:8" x14ac:dyDescent="0.25">
      <c r="F2280" s="3"/>
      <c r="H2280" s="1"/>
    </row>
    <row r="2281" spans="6:8" x14ac:dyDescent="0.25">
      <c r="F2281" s="3"/>
      <c r="H2281" s="1"/>
    </row>
    <row r="2282" spans="6:8" x14ac:dyDescent="0.25">
      <c r="F2282" s="3"/>
      <c r="H2282" s="1"/>
    </row>
    <row r="2283" spans="6:8" x14ac:dyDescent="0.25">
      <c r="F2283" s="3"/>
      <c r="H2283" s="1"/>
    </row>
    <row r="2284" spans="6:8" x14ac:dyDescent="0.25">
      <c r="F2284" s="3"/>
      <c r="H2284" s="1"/>
    </row>
    <row r="2285" spans="6:8" x14ac:dyDescent="0.25">
      <c r="F2285" s="3"/>
      <c r="H2285" s="1"/>
    </row>
    <row r="2286" spans="6:8" x14ac:dyDescent="0.25">
      <c r="F2286" s="3"/>
      <c r="H2286" s="1"/>
    </row>
    <row r="2287" spans="6:8" x14ac:dyDescent="0.25">
      <c r="F2287" s="3"/>
      <c r="H2287" s="1"/>
    </row>
    <row r="2288" spans="6:8" x14ac:dyDescent="0.25">
      <c r="F2288" s="3"/>
      <c r="H2288" s="1"/>
    </row>
    <row r="2289" spans="6:8" x14ac:dyDescent="0.25">
      <c r="F2289" s="3"/>
      <c r="H2289" s="1"/>
    </row>
    <row r="2290" spans="6:8" x14ac:dyDescent="0.25">
      <c r="F2290" s="3"/>
      <c r="H2290" s="1"/>
    </row>
    <row r="2291" spans="6:8" x14ac:dyDescent="0.25">
      <c r="F2291" s="3"/>
      <c r="H2291" s="1"/>
    </row>
    <row r="2292" spans="6:8" x14ac:dyDescent="0.25">
      <c r="F2292" s="3"/>
      <c r="H2292" s="1"/>
    </row>
    <row r="2293" spans="6:8" x14ac:dyDescent="0.25">
      <c r="F2293" s="3"/>
      <c r="H2293" s="1"/>
    </row>
    <row r="2294" spans="6:8" x14ac:dyDescent="0.25">
      <c r="F2294" s="3"/>
      <c r="H2294" s="1"/>
    </row>
    <row r="2295" spans="6:8" x14ac:dyDescent="0.25">
      <c r="F2295" s="3"/>
      <c r="H2295" s="1"/>
    </row>
    <row r="2296" spans="6:8" x14ac:dyDescent="0.25">
      <c r="F2296" s="3"/>
      <c r="H2296" s="1"/>
    </row>
    <row r="2297" spans="6:8" x14ac:dyDescent="0.25">
      <c r="F2297" s="3"/>
      <c r="H2297" s="1"/>
    </row>
    <row r="2298" spans="6:8" x14ac:dyDescent="0.25">
      <c r="F2298" s="3"/>
      <c r="H2298" s="1"/>
    </row>
    <row r="2299" spans="6:8" x14ac:dyDescent="0.25">
      <c r="F2299" s="3"/>
      <c r="H2299" s="1"/>
    </row>
    <row r="2300" spans="6:8" x14ac:dyDescent="0.25">
      <c r="F2300" s="3"/>
      <c r="H2300" s="1"/>
    </row>
    <row r="2301" spans="6:8" x14ac:dyDescent="0.25">
      <c r="F2301" s="3"/>
      <c r="H2301" s="1"/>
    </row>
    <row r="2302" spans="6:8" x14ac:dyDescent="0.25">
      <c r="F2302" s="3"/>
      <c r="H2302" s="1"/>
    </row>
    <row r="2303" spans="6:8" x14ac:dyDescent="0.25">
      <c r="F2303" s="3"/>
      <c r="H2303" s="1"/>
    </row>
    <row r="2304" spans="6:8" x14ac:dyDescent="0.25">
      <c r="F2304" s="3"/>
      <c r="H2304" s="1"/>
    </row>
    <row r="2305" spans="6:8" x14ac:dyDescent="0.25">
      <c r="F2305" s="3"/>
      <c r="H2305" s="1"/>
    </row>
    <row r="2306" spans="6:8" x14ac:dyDescent="0.25">
      <c r="F2306" s="3"/>
      <c r="H2306" s="1"/>
    </row>
    <row r="2307" spans="6:8" x14ac:dyDescent="0.25">
      <c r="F2307" s="3"/>
      <c r="H2307" s="1"/>
    </row>
    <row r="2308" spans="6:8" x14ac:dyDescent="0.25">
      <c r="F2308" s="3"/>
      <c r="H2308" s="1"/>
    </row>
    <row r="2309" spans="6:8" x14ac:dyDescent="0.25">
      <c r="F2309" s="3"/>
      <c r="H2309" s="1"/>
    </row>
    <row r="2310" spans="6:8" x14ac:dyDescent="0.25">
      <c r="F2310" s="3"/>
      <c r="H2310" s="1"/>
    </row>
    <row r="2311" spans="6:8" x14ac:dyDescent="0.25">
      <c r="F2311" s="3"/>
      <c r="H2311" s="1"/>
    </row>
    <row r="2312" spans="6:8" x14ac:dyDescent="0.25">
      <c r="F2312" s="3"/>
      <c r="H2312" s="1"/>
    </row>
    <row r="2313" spans="6:8" x14ac:dyDescent="0.25">
      <c r="F2313" s="3"/>
      <c r="H2313" s="1"/>
    </row>
    <row r="2314" spans="6:8" x14ac:dyDescent="0.25">
      <c r="F2314" s="3"/>
      <c r="H2314" s="1"/>
    </row>
    <row r="2315" spans="6:8" x14ac:dyDescent="0.25">
      <c r="F2315" s="3"/>
      <c r="H2315" s="1"/>
    </row>
    <row r="2316" spans="6:8" x14ac:dyDescent="0.25">
      <c r="F2316" s="3"/>
      <c r="H2316" s="1"/>
    </row>
    <row r="2317" spans="6:8" x14ac:dyDescent="0.25">
      <c r="F2317" s="3"/>
      <c r="H2317" s="1"/>
    </row>
    <row r="2318" spans="6:8" x14ac:dyDescent="0.25">
      <c r="F2318" s="3"/>
      <c r="H2318" s="1"/>
    </row>
    <row r="2319" spans="6:8" x14ac:dyDescent="0.25">
      <c r="F2319" s="3"/>
      <c r="H2319" s="1"/>
    </row>
    <row r="2320" spans="6:8" x14ac:dyDescent="0.25">
      <c r="F2320" s="3"/>
      <c r="H2320" s="1"/>
    </row>
    <row r="2321" spans="6:8" x14ac:dyDescent="0.25">
      <c r="F2321" s="3"/>
      <c r="H2321" s="1"/>
    </row>
    <row r="2322" spans="6:8" x14ac:dyDescent="0.25">
      <c r="F2322" s="3"/>
      <c r="H2322" s="1"/>
    </row>
    <row r="2323" spans="6:8" x14ac:dyDescent="0.25">
      <c r="F2323" s="3"/>
      <c r="H2323" s="1"/>
    </row>
    <row r="2324" spans="6:8" x14ac:dyDescent="0.25">
      <c r="F2324" s="3"/>
      <c r="H2324" s="1"/>
    </row>
    <row r="2325" spans="6:8" x14ac:dyDescent="0.25">
      <c r="F2325" s="3"/>
      <c r="H2325" s="1"/>
    </row>
    <row r="2326" spans="6:8" x14ac:dyDescent="0.25">
      <c r="F2326" s="3"/>
      <c r="H2326" s="1"/>
    </row>
    <row r="2327" spans="6:8" x14ac:dyDescent="0.25">
      <c r="F2327" s="3"/>
      <c r="H2327" s="1"/>
    </row>
    <row r="2328" spans="6:8" x14ac:dyDescent="0.25">
      <c r="F2328" s="3"/>
      <c r="H2328" s="1"/>
    </row>
    <row r="2329" spans="6:8" x14ac:dyDescent="0.25">
      <c r="F2329" s="3"/>
      <c r="H2329" s="1"/>
    </row>
    <row r="2330" spans="6:8" x14ac:dyDescent="0.25">
      <c r="F2330" s="3"/>
      <c r="H2330" s="1"/>
    </row>
    <row r="2331" spans="6:8" x14ac:dyDescent="0.25">
      <c r="F2331" s="3"/>
      <c r="H2331" s="1"/>
    </row>
    <row r="2332" spans="6:8" x14ac:dyDescent="0.25">
      <c r="F2332" s="3"/>
      <c r="H2332" s="1"/>
    </row>
    <row r="2333" spans="6:8" x14ac:dyDescent="0.25">
      <c r="F2333" s="3"/>
      <c r="H2333" s="1"/>
    </row>
    <row r="2334" spans="6:8" x14ac:dyDescent="0.25">
      <c r="F2334" s="3"/>
      <c r="H2334" s="1"/>
    </row>
    <row r="2335" spans="6:8" x14ac:dyDescent="0.25">
      <c r="F2335" s="3"/>
      <c r="H2335" s="1"/>
    </row>
    <row r="2336" spans="6:8" x14ac:dyDescent="0.25">
      <c r="F2336" s="3"/>
      <c r="H2336" s="1"/>
    </row>
    <row r="2337" spans="6:8" x14ac:dyDescent="0.25">
      <c r="F2337" s="3"/>
      <c r="H2337" s="1"/>
    </row>
    <row r="2338" spans="6:8" x14ac:dyDescent="0.25">
      <c r="F2338" s="3"/>
      <c r="H2338" s="1"/>
    </row>
    <row r="2339" spans="6:8" x14ac:dyDescent="0.25">
      <c r="F2339" s="3"/>
      <c r="H2339" s="1"/>
    </row>
    <row r="2340" spans="6:8" x14ac:dyDescent="0.25">
      <c r="F2340" s="3"/>
      <c r="H2340" s="1"/>
    </row>
    <row r="2341" spans="6:8" x14ac:dyDescent="0.25">
      <c r="F2341" s="3"/>
      <c r="H2341" s="1"/>
    </row>
    <row r="2342" spans="6:8" x14ac:dyDescent="0.25">
      <c r="F2342" s="3"/>
      <c r="H2342" s="1"/>
    </row>
    <row r="2343" spans="6:8" x14ac:dyDescent="0.25">
      <c r="F2343" s="3"/>
      <c r="H2343" s="1"/>
    </row>
    <row r="2344" spans="6:8" x14ac:dyDescent="0.25">
      <c r="F2344" s="3"/>
      <c r="H2344" s="1"/>
    </row>
    <row r="2345" spans="6:8" x14ac:dyDescent="0.25">
      <c r="F2345" s="3"/>
      <c r="H2345" s="1"/>
    </row>
    <row r="2346" spans="6:8" x14ac:dyDescent="0.25">
      <c r="F2346" s="3"/>
      <c r="H2346" s="1"/>
    </row>
    <row r="2347" spans="6:8" x14ac:dyDescent="0.25">
      <c r="F2347" s="3"/>
      <c r="H2347" s="1"/>
    </row>
    <row r="2348" spans="6:8" x14ac:dyDescent="0.25">
      <c r="F2348" s="3"/>
      <c r="H2348" s="1"/>
    </row>
    <row r="2349" spans="6:8" x14ac:dyDescent="0.25">
      <c r="F2349" s="3"/>
      <c r="H2349" s="1"/>
    </row>
    <row r="2350" spans="6:8" x14ac:dyDescent="0.25">
      <c r="F2350" s="3"/>
      <c r="H2350" s="1"/>
    </row>
    <row r="2351" spans="6:8" x14ac:dyDescent="0.25">
      <c r="F2351" s="3"/>
      <c r="H2351" s="1"/>
    </row>
    <row r="2352" spans="6:8" x14ac:dyDescent="0.25">
      <c r="F2352" s="3"/>
      <c r="H2352" s="1"/>
    </row>
    <row r="2353" spans="6:8" x14ac:dyDescent="0.25">
      <c r="F2353" s="3"/>
      <c r="H2353" s="1"/>
    </row>
    <row r="2354" spans="6:8" x14ac:dyDescent="0.25">
      <c r="F2354" s="3"/>
      <c r="H2354" s="1"/>
    </row>
    <row r="2355" spans="6:8" x14ac:dyDescent="0.25">
      <c r="F2355" s="3"/>
      <c r="H2355" s="1"/>
    </row>
    <row r="2356" spans="6:8" x14ac:dyDescent="0.25">
      <c r="F2356" s="3"/>
      <c r="H2356" s="1"/>
    </row>
    <row r="2357" spans="6:8" x14ac:dyDescent="0.25">
      <c r="F2357" s="3"/>
      <c r="H2357" s="1"/>
    </row>
    <row r="2358" spans="6:8" x14ac:dyDescent="0.25">
      <c r="F2358" s="3"/>
      <c r="H2358" s="1"/>
    </row>
    <row r="2359" spans="6:8" x14ac:dyDescent="0.25">
      <c r="F2359" s="3"/>
      <c r="H2359" s="1"/>
    </row>
    <row r="2360" spans="6:8" x14ac:dyDescent="0.25">
      <c r="F2360" s="3"/>
      <c r="H2360" s="1"/>
    </row>
    <row r="2361" spans="6:8" x14ac:dyDescent="0.25">
      <c r="F2361" s="3"/>
      <c r="H2361" s="1"/>
    </row>
    <row r="2362" spans="6:8" x14ac:dyDescent="0.25">
      <c r="F2362" s="3"/>
      <c r="H2362" s="1"/>
    </row>
    <row r="2363" spans="6:8" x14ac:dyDescent="0.25">
      <c r="F2363" s="3"/>
      <c r="H2363" s="1"/>
    </row>
    <row r="2364" spans="6:8" x14ac:dyDescent="0.25">
      <c r="F2364" s="3"/>
      <c r="H2364" s="1"/>
    </row>
    <row r="2365" spans="6:8" x14ac:dyDescent="0.25">
      <c r="F2365" s="3"/>
      <c r="H2365" s="1"/>
    </row>
    <row r="2366" spans="6:8" x14ac:dyDescent="0.25">
      <c r="F2366" s="3"/>
      <c r="H2366" s="1"/>
    </row>
    <row r="2367" spans="6:8" x14ac:dyDescent="0.25">
      <c r="F2367" s="3"/>
      <c r="H2367" s="1"/>
    </row>
    <row r="2368" spans="6:8" x14ac:dyDescent="0.25">
      <c r="F2368" s="3"/>
      <c r="H2368" s="1"/>
    </row>
    <row r="2369" spans="6:8" x14ac:dyDescent="0.25">
      <c r="F2369" s="3"/>
      <c r="H2369" s="1"/>
    </row>
    <row r="2370" spans="6:8" x14ac:dyDescent="0.25">
      <c r="F2370" s="3"/>
      <c r="H2370" s="1"/>
    </row>
    <row r="2371" spans="6:8" x14ac:dyDescent="0.25">
      <c r="F2371" s="3"/>
      <c r="H2371" s="1"/>
    </row>
    <row r="2372" spans="6:8" x14ac:dyDescent="0.25">
      <c r="F2372" s="3"/>
      <c r="H2372" s="1"/>
    </row>
    <row r="2373" spans="6:8" x14ac:dyDescent="0.25">
      <c r="F2373" s="3"/>
      <c r="H2373" s="1"/>
    </row>
    <row r="2374" spans="6:8" x14ac:dyDescent="0.25">
      <c r="F2374" s="3"/>
      <c r="H2374" s="1"/>
    </row>
    <row r="2375" spans="6:8" x14ac:dyDescent="0.25">
      <c r="F2375" s="3"/>
      <c r="H2375" s="1"/>
    </row>
    <row r="2376" spans="6:8" x14ac:dyDescent="0.25">
      <c r="F2376" s="3"/>
      <c r="H2376" s="1"/>
    </row>
    <row r="2377" spans="6:8" x14ac:dyDescent="0.25">
      <c r="F2377" s="3"/>
      <c r="H2377" s="1"/>
    </row>
    <row r="2378" spans="6:8" x14ac:dyDescent="0.25">
      <c r="F2378" s="3"/>
      <c r="H2378" s="1"/>
    </row>
    <row r="2379" spans="6:8" x14ac:dyDescent="0.25">
      <c r="F2379" s="3"/>
      <c r="H2379" s="1"/>
    </row>
    <row r="2380" spans="6:8" x14ac:dyDescent="0.25">
      <c r="F2380" s="3"/>
      <c r="H2380" s="1"/>
    </row>
    <row r="2381" spans="6:8" x14ac:dyDescent="0.25">
      <c r="F2381" s="3"/>
      <c r="H2381" s="1"/>
    </row>
    <row r="2382" spans="6:8" x14ac:dyDescent="0.25">
      <c r="F2382" s="3"/>
      <c r="H2382" s="1"/>
    </row>
    <row r="2383" spans="6:8" x14ac:dyDescent="0.25">
      <c r="F2383" s="3"/>
      <c r="H2383" s="1"/>
    </row>
    <row r="2384" spans="6:8" x14ac:dyDescent="0.25">
      <c r="F2384" s="3"/>
      <c r="H2384" s="1"/>
    </row>
    <row r="2385" spans="6:8" x14ac:dyDescent="0.25">
      <c r="F2385" s="3"/>
      <c r="H2385" s="1"/>
    </row>
    <row r="2386" spans="6:8" x14ac:dyDescent="0.25">
      <c r="F2386" s="3"/>
      <c r="H2386" s="1"/>
    </row>
    <row r="2387" spans="6:8" x14ac:dyDescent="0.25">
      <c r="F2387" s="3"/>
      <c r="H2387" s="1"/>
    </row>
    <row r="2388" spans="6:8" x14ac:dyDescent="0.25">
      <c r="F2388" s="3"/>
      <c r="H2388" s="1"/>
    </row>
    <row r="2389" spans="6:8" x14ac:dyDescent="0.25">
      <c r="F2389" s="3"/>
      <c r="H2389" s="1"/>
    </row>
    <row r="2390" spans="6:8" x14ac:dyDescent="0.25">
      <c r="F2390" s="3"/>
      <c r="H2390" s="1"/>
    </row>
    <row r="2391" spans="6:8" x14ac:dyDescent="0.25">
      <c r="F2391" s="3"/>
      <c r="H2391" s="1"/>
    </row>
    <row r="2392" spans="6:8" x14ac:dyDescent="0.25">
      <c r="F2392" s="3"/>
      <c r="H2392" s="1"/>
    </row>
    <row r="2393" spans="6:8" x14ac:dyDescent="0.25">
      <c r="F2393" s="3"/>
      <c r="H2393" s="1"/>
    </row>
    <row r="2394" spans="6:8" x14ac:dyDescent="0.25">
      <c r="F2394" s="3"/>
      <c r="H2394" s="1"/>
    </row>
    <row r="2395" spans="6:8" x14ac:dyDescent="0.25">
      <c r="F2395" s="3"/>
      <c r="H2395" s="1"/>
    </row>
    <row r="2396" spans="6:8" x14ac:dyDescent="0.25">
      <c r="F2396" s="3"/>
      <c r="H2396" s="1"/>
    </row>
    <row r="2397" spans="6:8" x14ac:dyDescent="0.25">
      <c r="F2397" s="3"/>
      <c r="H2397" s="1"/>
    </row>
    <row r="2398" spans="6:8" x14ac:dyDescent="0.25">
      <c r="F2398" s="3"/>
      <c r="H2398" s="1"/>
    </row>
    <row r="2399" spans="6:8" x14ac:dyDescent="0.25">
      <c r="F2399" s="3"/>
      <c r="H2399" s="1"/>
    </row>
    <row r="2400" spans="6:8" x14ac:dyDescent="0.25">
      <c r="F2400" s="3"/>
      <c r="H2400" s="1"/>
    </row>
    <row r="2401" spans="6:8" x14ac:dyDescent="0.25">
      <c r="F2401" s="3"/>
      <c r="H2401" s="1"/>
    </row>
    <row r="2402" spans="6:8" x14ac:dyDescent="0.25">
      <c r="F2402" s="3"/>
      <c r="H2402" s="1"/>
    </row>
    <row r="2403" spans="6:8" x14ac:dyDescent="0.25">
      <c r="F2403" s="3"/>
      <c r="H2403" s="1"/>
    </row>
    <row r="2404" spans="6:8" x14ac:dyDescent="0.25">
      <c r="F2404" s="3"/>
      <c r="H2404" s="1"/>
    </row>
    <row r="2405" spans="6:8" x14ac:dyDescent="0.25">
      <c r="F2405" s="3"/>
      <c r="H2405" s="1"/>
    </row>
    <row r="2406" spans="6:8" x14ac:dyDescent="0.25">
      <c r="F2406" s="3"/>
      <c r="H2406" s="1"/>
    </row>
    <row r="2407" spans="6:8" x14ac:dyDescent="0.25">
      <c r="F2407" s="3"/>
      <c r="H2407" s="1"/>
    </row>
    <row r="2408" spans="6:8" x14ac:dyDescent="0.25">
      <c r="F2408" s="3"/>
      <c r="H2408" s="1"/>
    </row>
    <row r="2409" spans="6:8" x14ac:dyDescent="0.25">
      <c r="F2409" s="3"/>
      <c r="H2409" s="1"/>
    </row>
    <row r="2410" spans="6:8" x14ac:dyDescent="0.25">
      <c r="F2410" s="3"/>
      <c r="H2410" s="1"/>
    </row>
    <row r="2411" spans="6:8" x14ac:dyDescent="0.25">
      <c r="F2411" s="3"/>
      <c r="H2411" s="1"/>
    </row>
    <row r="2412" spans="6:8" x14ac:dyDescent="0.25">
      <c r="F2412" s="3"/>
      <c r="H2412" s="1"/>
    </row>
    <row r="2413" spans="6:8" x14ac:dyDescent="0.25">
      <c r="F2413" s="3"/>
      <c r="H2413" s="1"/>
    </row>
    <row r="2414" spans="6:8" x14ac:dyDescent="0.25">
      <c r="F2414" s="3"/>
      <c r="H2414" s="1"/>
    </row>
    <row r="2415" spans="6:8" x14ac:dyDescent="0.25">
      <c r="F2415" s="3"/>
      <c r="H2415" s="1"/>
    </row>
    <row r="2416" spans="6:8" x14ac:dyDescent="0.25">
      <c r="F2416" s="3"/>
      <c r="H2416" s="1"/>
    </row>
    <row r="2417" spans="6:8" x14ac:dyDescent="0.25">
      <c r="F2417" s="3"/>
      <c r="H2417" s="1"/>
    </row>
    <row r="2418" spans="6:8" x14ac:dyDescent="0.25">
      <c r="F2418" s="3"/>
      <c r="H2418" s="1"/>
    </row>
    <row r="2419" spans="6:8" x14ac:dyDescent="0.25">
      <c r="F2419" s="3"/>
      <c r="H2419" s="1"/>
    </row>
    <row r="2420" spans="6:8" x14ac:dyDescent="0.25">
      <c r="F2420" s="3"/>
      <c r="H2420" s="1"/>
    </row>
    <row r="2421" spans="6:8" x14ac:dyDescent="0.25">
      <c r="F2421" s="3"/>
      <c r="H2421" s="1"/>
    </row>
    <row r="2422" spans="6:8" x14ac:dyDescent="0.25">
      <c r="F2422" s="3"/>
      <c r="H2422" s="1"/>
    </row>
    <row r="2423" spans="6:8" x14ac:dyDescent="0.25">
      <c r="F2423" s="3"/>
      <c r="H2423" s="1"/>
    </row>
    <row r="2424" spans="6:8" x14ac:dyDescent="0.25">
      <c r="F2424" s="3"/>
      <c r="H2424" s="1"/>
    </row>
    <row r="2425" spans="6:8" x14ac:dyDescent="0.25">
      <c r="F2425" s="3"/>
      <c r="H2425" s="1"/>
    </row>
    <row r="2426" spans="6:8" x14ac:dyDescent="0.25">
      <c r="F2426" s="3"/>
      <c r="H2426" s="1"/>
    </row>
    <row r="2427" spans="6:8" x14ac:dyDescent="0.25">
      <c r="F2427" s="3"/>
      <c r="H2427" s="1"/>
    </row>
    <row r="2428" spans="6:8" x14ac:dyDescent="0.25">
      <c r="F2428" s="3"/>
      <c r="H2428" s="1"/>
    </row>
    <row r="2429" spans="6:8" x14ac:dyDescent="0.25">
      <c r="F2429" s="3"/>
      <c r="H2429" s="1"/>
    </row>
    <row r="2430" spans="6:8" x14ac:dyDescent="0.25">
      <c r="F2430" s="3"/>
      <c r="H2430" s="1"/>
    </row>
    <row r="2431" spans="6:8" x14ac:dyDescent="0.25">
      <c r="F2431" s="3"/>
      <c r="H2431" s="1"/>
    </row>
    <row r="2432" spans="6:8" x14ac:dyDescent="0.25">
      <c r="F2432" s="3"/>
      <c r="H2432" s="1"/>
    </row>
    <row r="2433" spans="6:8" x14ac:dyDescent="0.25">
      <c r="F2433" s="3"/>
      <c r="H2433" s="1"/>
    </row>
    <row r="2434" spans="6:8" x14ac:dyDescent="0.25">
      <c r="F2434" s="3"/>
      <c r="H2434" s="1"/>
    </row>
    <row r="2435" spans="6:8" x14ac:dyDescent="0.25">
      <c r="F2435" s="3"/>
      <c r="H2435" s="1"/>
    </row>
    <row r="2436" spans="6:8" x14ac:dyDescent="0.25">
      <c r="F2436" s="3"/>
      <c r="H2436" s="1"/>
    </row>
    <row r="2437" spans="6:8" x14ac:dyDescent="0.25">
      <c r="F2437" s="3"/>
      <c r="H2437" s="1"/>
    </row>
    <row r="2438" spans="6:8" x14ac:dyDescent="0.25">
      <c r="F2438" s="3"/>
      <c r="H2438" s="1"/>
    </row>
    <row r="2439" spans="6:8" x14ac:dyDescent="0.25">
      <c r="F2439" s="3"/>
      <c r="H2439" s="1"/>
    </row>
    <row r="2440" spans="6:8" x14ac:dyDescent="0.25">
      <c r="F2440" s="3"/>
      <c r="H2440" s="1"/>
    </row>
    <row r="2441" spans="6:8" x14ac:dyDescent="0.25">
      <c r="F2441" s="3"/>
      <c r="H2441" s="1"/>
    </row>
    <row r="2442" spans="6:8" x14ac:dyDescent="0.25">
      <c r="F2442" s="3"/>
      <c r="H2442" s="1"/>
    </row>
    <row r="2443" spans="6:8" x14ac:dyDescent="0.25">
      <c r="F2443" s="3"/>
      <c r="H2443" s="1"/>
    </row>
    <row r="2444" spans="6:8" x14ac:dyDescent="0.25">
      <c r="F2444" s="3"/>
      <c r="H2444" s="1"/>
    </row>
    <row r="2445" spans="6:8" x14ac:dyDescent="0.25">
      <c r="F2445" s="3"/>
      <c r="H2445" s="1"/>
    </row>
    <row r="2446" spans="6:8" x14ac:dyDescent="0.25">
      <c r="F2446" s="3"/>
      <c r="H2446" s="1"/>
    </row>
    <row r="2447" spans="6:8" x14ac:dyDescent="0.25">
      <c r="F2447" s="3"/>
      <c r="H2447" s="1"/>
    </row>
    <row r="2448" spans="6:8" x14ac:dyDescent="0.25">
      <c r="F2448" s="3"/>
      <c r="H2448" s="1"/>
    </row>
    <row r="2449" spans="6:8" x14ac:dyDescent="0.25">
      <c r="F2449" s="3"/>
      <c r="H2449" s="1"/>
    </row>
    <row r="2450" spans="6:8" x14ac:dyDescent="0.25">
      <c r="F2450" s="3"/>
      <c r="H2450" s="1"/>
    </row>
    <row r="2451" spans="6:8" x14ac:dyDescent="0.25">
      <c r="F2451" s="3"/>
      <c r="H2451" s="1"/>
    </row>
    <row r="2452" spans="6:8" x14ac:dyDescent="0.25">
      <c r="F2452" s="3"/>
      <c r="H2452" s="1"/>
    </row>
    <row r="2453" spans="6:8" x14ac:dyDescent="0.25">
      <c r="F2453" s="3"/>
      <c r="H2453" s="1"/>
    </row>
    <row r="2454" spans="6:8" x14ac:dyDescent="0.25">
      <c r="F2454" s="3"/>
      <c r="H2454" s="1"/>
    </row>
    <row r="2455" spans="6:8" x14ac:dyDescent="0.25">
      <c r="F2455" s="3"/>
      <c r="H2455" s="1"/>
    </row>
    <row r="2456" spans="6:8" x14ac:dyDescent="0.25">
      <c r="F2456" s="3"/>
      <c r="H2456" s="1"/>
    </row>
    <row r="2457" spans="6:8" x14ac:dyDescent="0.25">
      <c r="F2457" s="3"/>
      <c r="H2457" s="1"/>
    </row>
    <row r="2458" spans="6:8" x14ac:dyDescent="0.25">
      <c r="F2458" s="3"/>
      <c r="H2458" s="1"/>
    </row>
    <row r="2459" spans="6:8" x14ac:dyDescent="0.25">
      <c r="F2459" s="3"/>
      <c r="H2459" s="1"/>
    </row>
    <row r="2460" spans="6:8" x14ac:dyDescent="0.25">
      <c r="F2460" s="3"/>
      <c r="H2460" s="1"/>
    </row>
    <row r="2461" spans="6:8" x14ac:dyDescent="0.25">
      <c r="F2461" s="3"/>
      <c r="H2461" s="1"/>
    </row>
    <row r="2462" spans="6:8" x14ac:dyDescent="0.25">
      <c r="F2462" s="3"/>
      <c r="H2462" s="1"/>
    </row>
    <row r="2463" spans="6:8" x14ac:dyDescent="0.25">
      <c r="F2463" s="3"/>
      <c r="H2463" s="1"/>
    </row>
    <row r="2464" spans="6:8" x14ac:dyDescent="0.25">
      <c r="F2464" s="3"/>
      <c r="H2464" s="1"/>
    </row>
    <row r="2465" spans="6:8" x14ac:dyDescent="0.25">
      <c r="F2465" s="3"/>
      <c r="H2465" s="1"/>
    </row>
    <row r="2466" spans="6:8" x14ac:dyDescent="0.25">
      <c r="F2466" s="3"/>
      <c r="H2466" s="1"/>
    </row>
    <row r="2467" spans="6:8" x14ac:dyDescent="0.25">
      <c r="F2467" s="3"/>
      <c r="H2467" s="1"/>
    </row>
    <row r="2468" spans="6:8" x14ac:dyDescent="0.25">
      <c r="F2468" s="3"/>
      <c r="H2468" s="1"/>
    </row>
    <row r="2469" spans="6:8" x14ac:dyDescent="0.25">
      <c r="F2469" s="3"/>
      <c r="H2469" s="1"/>
    </row>
    <row r="2470" spans="6:8" x14ac:dyDescent="0.25">
      <c r="F2470" s="3"/>
      <c r="H2470" s="1"/>
    </row>
    <row r="2471" spans="6:8" x14ac:dyDescent="0.25">
      <c r="F2471" s="3"/>
      <c r="H2471" s="1"/>
    </row>
    <row r="2472" spans="6:8" x14ac:dyDescent="0.25">
      <c r="F2472" s="3"/>
      <c r="H2472" s="1"/>
    </row>
    <row r="2473" spans="6:8" x14ac:dyDescent="0.25">
      <c r="F2473" s="3"/>
      <c r="H2473" s="1"/>
    </row>
    <row r="2474" spans="6:8" x14ac:dyDescent="0.25">
      <c r="F2474" s="3"/>
      <c r="H2474" s="1"/>
    </row>
    <row r="2475" spans="6:8" x14ac:dyDescent="0.25">
      <c r="F2475" s="3"/>
      <c r="H2475" s="1"/>
    </row>
    <row r="2476" spans="6:8" x14ac:dyDescent="0.25">
      <c r="F2476" s="3"/>
      <c r="H2476" s="1"/>
    </row>
    <row r="2477" spans="6:8" x14ac:dyDescent="0.25">
      <c r="F2477" s="3"/>
      <c r="H2477" s="1"/>
    </row>
    <row r="2478" spans="6:8" x14ac:dyDescent="0.25">
      <c r="F2478" s="3"/>
      <c r="H2478" s="1"/>
    </row>
    <row r="2479" spans="6:8" x14ac:dyDescent="0.25">
      <c r="F2479" s="3"/>
      <c r="H2479" s="1"/>
    </row>
    <row r="2480" spans="6:8" x14ac:dyDescent="0.25">
      <c r="F2480" s="3"/>
      <c r="H2480" s="1"/>
    </row>
    <row r="2481" spans="6:8" x14ac:dyDescent="0.25">
      <c r="F2481" s="3"/>
      <c r="H2481" s="1"/>
    </row>
    <row r="2482" spans="6:8" x14ac:dyDescent="0.25">
      <c r="F2482" s="3"/>
      <c r="H2482" s="1"/>
    </row>
    <row r="2483" spans="6:8" x14ac:dyDescent="0.25">
      <c r="F2483" s="3"/>
      <c r="H2483" s="1"/>
    </row>
    <row r="2484" spans="6:8" x14ac:dyDescent="0.25">
      <c r="F2484" s="3"/>
      <c r="H2484" s="1"/>
    </row>
    <row r="2485" spans="6:8" x14ac:dyDescent="0.25">
      <c r="F2485" s="3"/>
      <c r="H2485" s="1"/>
    </row>
    <row r="2486" spans="6:8" x14ac:dyDescent="0.25">
      <c r="F2486" s="3"/>
      <c r="H2486" s="1"/>
    </row>
    <row r="2487" spans="6:8" x14ac:dyDescent="0.25">
      <c r="F2487" s="3"/>
      <c r="H2487" s="1"/>
    </row>
    <row r="2488" spans="6:8" x14ac:dyDescent="0.25">
      <c r="F2488" s="3"/>
      <c r="H2488" s="1"/>
    </row>
    <row r="2489" spans="6:8" x14ac:dyDescent="0.25">
      <c r="F2489" s="3"/>
      <c r="H2489" s="1"/>
    </row>
    <row r="2490" spans="6:8" x14ac:dyDescent="0.25">
      <c r="F2490" s="3"/>
      <c r="H2490" s="1"/>
    </row>
    <row r="2491" spans="6:8" x14ac:dyDescent="0.25">
      <c r="F2491" s="3"/>
      <c r="H2491" s="1"/>
    </row>
    <row r="2492" spans="6:8" x14ac:dyDescent="0.25">
      <c r="F2492" s="3"/>
      <c r="H2492" s="1"/>
    </row>
    <row r="2493" spans="6:8" x14ac:dyDescent="0.25">
      <c r="F2493" s="3"/>
      <c r="H2493" s="1"/>
    </row>
    <row r="2494" spans="6:8" x14ac:dyDescent="0.25">
      <c r="F2494" s="3"/>
      <c r="H2494" s="1"/>
    </row>
    <row r="2495" spans="6:8" x14ac:dyDescent="0.25">
      <c r="F2495" s="3"/>
      <c r="H2495" s="1"/>
    </row>
    <row r="2496" spans="6:8" x14ac:dyDescent="0.25">
      <c r="F2496" s="3"/>
      <c r="H2496" s="1"/>
    </row>
    <row r="2497" spans="6:8" x14ac:dyDescent="0.25">
      <c r="F2497" s="3"/>
      <c r="H2497" s="1"/>
    </row>
    <row r="2498" spans="6:8" x14ac:dyDescent="0.25">
      <c r="F2498" s="3"/>
      <c r="H2498" s="1"/>
    </row>
    <row r="2499" spans="6:8" x14ac:dyDescent="0.25">
      <c r="F2499" s="3"/>
      <c r="H2499" s="1"/>
    </row>
    <row r="2500" spans="6:8" x14ac:dyDescent="0.25">
      <c r="F2500" s="3"/>
      <c r="H2500" s="1"/>
    </row>
    <row r="2501" spans="6:8" x14ac:dyDescent="0.25">
      <c r="F2501" s="3"/>
      <c r="H2501" s="1"/>
    </row>
    <row r="2502" spans="6:8" x14ac:dyDescent="0.25">
      <c r="F2502" s="3"/>
      <c r="H2502" s="1"/>
    </row>
    <row r="2503" spans="6:8" x14ac:dyDescent="0.25">
      <c r="F2503" s="3"/>
      <c r="H2503" s="1"/>
    </row>
    <row r="2504" spans="6:8" x14ac:dyDescent="0.25">
      <c r="F2504" s="3"/>
      <c r="H2504" s="1"/>
    </row>
    <row r="2505" spans="6:8" x14ac:dyDescent="0.25">
      <c r="F2505" s="3"/>
      <c r="H2505" s="1"/>
    </row>
    <row r="2506" spans="6:8" x14ac:dyDescent="0.25">
      <c r="F2506" s="3"/>
      <c r="H2506" s="1"/>
    </row>
    <row r="2507" spans="6:8" x14ac:dyDescent="0.25">
      <c r="F2507" s="3"/>
      <c r="H2507" s="1"/>
    </row>
    <row r="2508" spans="6:8" x14ac:dyDescent="0.25">
      <c r="F2508" s="3"/>
      <c r="H2508" s="1"/>
    </row>
    <row r="2509" spans="6:8" x14ac:dyDescent="0.25">
      <c r="F2509" s="3"/>
      <c r="H2509" s="1"/>
    </row>
    <row r="2510" spans="6:8" x14ac:dyDescent="0.25">
      <c r="F2510" s="3"/>
      <c r="H2510" s="1"/>
    </row>
    <row r="2511" spans="6:8" x14ac:dyDescent="0.25">
      <c r="F2511" s="3"/>
      <c r="H2511" s="1"/>
    </row>
    <row r="2512" spans="6:8" x14ac:dyDescent="0.25">
      <c r="F2512" s="3"/>
      <c r="H2512" s="1"/>
    </row>
    <row r="2513" spans="6:8" x14ac:dyDescent="0.25">
      <c r="F2513" s="3"/>
      <c r="H2513" s="1"/>
    </row>
    <row r="2514" spans="6:8" x14ac:dyDescent="0.25">
      <c r="F2514" s="3"/>
      <c r="H2514" s="1"/>
    </row>
    <row r="2515" spans="6:8" x14ac:dyDescent="0.25">
      <c r="F2515" s="3"/>
      <c r="H2515" s="1"/>
    </row>
    <row r="2516" spans="6:8" x14ac:dyDescent="0.25">
      <c r="F2516" s="3"/>
      <c r="H2516" s="1"/>
    </row>
    <row r="2517" spans="6:8" x14ac:dyDescent="0.25">
      <c r="F2517" s="3"/>
      <c r="H2517" s="1"/>
    </row>
    <row r="2518" spans="6:8" x14ac:dyDescent="0.25">
      <c r="F2518" s="3"/>
      <c r="H2518" s="1"/>
    </row>
    <row r="2519" spans="6:8" x14ac:dyDescent="0.25">
      <c r="F2519" s="3"/>
      <c r="H2519" s="1"/>
    </row>
    <row r="2520" spans="6:8" x14ac:dyDescent="0.25">
      <c r="F2520" s="3"/>
      <c r="H2520" s="1"/>
    </row>
    <row r="2521" spans="6:8" x14ac:dyDescent="0.25">
      <c r="F2521" s="3"/>
      <c r="H2521" s="1"/>
    </row>
    <row r="2522" spans="6:8" x14ac:dyDescent="0.25">
      <c r="F2522" s="3"/>
      <c r="H2522" s="1"/>
    </row>
    <row r="2523" spans="6:8" x14ac:dyDescent="0.25">
      <c r="F2523" s="3"/>
      <c r="H2523" s="1"/>
    </row>
    <row r="2524" spans="6:8" x14ac:dyDescent="0.25">
      <c r="F2524" s="3"/>
      <c r="H2524" s="1"/>
    </row>
    <row r="2525" spans="6:8" x14ac:dyDescent="0.25">
      <c r="F2525" s="3"/>
      <c r="H2525" s="1"/>
    </row>
    <row r="2526" spans="6:8" x14ac:dyDescent="0.25">
      <c r="F2526" s="3"/>
      <c r="H2526" s="1"/>
    </row>
    <row r="2527" spans="6:8" x14ac:dyDescent="0.25">
      <c r="F2527" s="3"/>
      <c r="H2527" s="1"/>
    </row>
    <row r="2528" spans="6:8" x14ac:dyDescent="0.25">
      <c r="F2528" s="3"/>
      <c r="H2528" s="1"/>
    </row>
    <row r="2529" spans="6:8" x14ac:dyDescent="0.25">
      <c r="F2529" s="3"/>
      <c r="H2529" s="1"/>
    </row>
    <row r="2530" spans="6:8" x14ac:dyDescent="0.25">
      <c r="F2530" s="3"/>
      <c r="H2530" s="1"/>
    </row>
    <row r="2531" spans="6:8" x14ac:dyDescent="0.25">
      <c r="F2531" s="3"/>
      <c r="H2531" s="1"/>
    </row>
    <row r="2532" spans="6:8" x14ac:dyDescent="0.25">
      <c r="F2532" s="3"/>
      <c r="H2532" s="1"/>
    </row>
    <row r="2533" spans="6:8" x14ac:dyDescent="0.25">
      <c r="F2533" s="3"/>
      <c r="H2533" s="1"/>
    </row>
    <row r="2534" spans="6:8" x14ac:dyDescent="0.25">
      <c r="F2534" s="3"/>
      <c r="H2534" s="1"/>
    </row>
    <row r="2535" spans="6:8" x14ac:dyDescent="0.25">
      <c r="F2535" s="3"/>
      <c r="H2535" s="1"/>
    </row>
    <row r="2536" spans="6:8" x14ac:dyDescent="0.25">
      <c r="F2536" s="3"/>
      <c r="H2536" s="1"/>
    </row>
    <row r="2537" spans="6:8" x14ac:dyDescent="0.25">
      <c r="F2537" s="3"/>
      <c r="H2537" s="1"/>
    </row>
    <row r="2538" spans="6:8" x14ac:dyDescent="0.25">
      <c r="F2538" s="3"/>
      <c r="H2538" s="1"/>
    </row>
    <row r="2539" spans="6:8" x14ac:dyDescent="0.25">
      <c r="F2539" s="3"/>
      <c r="H2539" s="1"/>
    </row>
    <row r="2540" spans="6:8" x14ac:dyDescent="0.25">
      <c r="F2540" s="3"/>
      <c r="H2540" s="1"/>
    </row>
    <row r="2541" spans="6:8" x14ac:dyDescent="0.25">
      <c r="F2541" s="3"/>
      <c r="H2541" s="1"/>
    </row>
    <row r="2542" spans="6:8" x14ac:dyDescent="0.25">
      <c r="F2542" s="3"/>
      <c r="H2542" s="1"/>
    </row>
    <row r="2543" spans="6:8" x14ac:dyDescent="0.25">
      <c r="F2543" s="3"/>
      <c r="H2543" s="1"/>
    </row>
    <row r="2544" spans="6:8" x14ac:dyDescent="0.25">
      <c r="F2544" s="3"/>
      <c r="H2544" s="1"/>
    </row>
    <row r="2545" spans="6:8" x14ac:dyDescent="0.25">
      <c r="F2545" s="3"/>
      <c r="H2545" s="1"/>
    </row>
    <row r="2546" spans="6:8" x14ac:dyDescent="0.25">
      <c r="F2546" s="3"/>
      <c r="H2546" s="1"/>
    </row>
    <row r="2547" spans="6:8" x14ac:dyDescent="0.25">
      <c r="F2547" s="3"/>
      <c r="H2547" s="1"/>
    </row>
    <row r="2548" spans="6:8" x14ac:dyDescent="0.25">
      <c r="F2548" s="3"/>
      <c r="H2548" s="1"/>
    </row>
    <row r="2549" spans="6:8" x14ac:dyDescent="0.25">
      <c r="F2549" s="3"/>
      <c r="H2549" s="1"/>
    </row>
    <row r="2550" spans="6:8" x14ac:dyDescent="0.25">
      <c r="F2550" s="3"/>
      <c r="H2550" s="1"/>
    </row>
    <row r="2551" spans="6:8" x14ac:dyDescent="0.25">
      <c r="F2551" s="3"/>
      <c r="H2551" s="1"/>
    </row>
    <row r="2552" spans="6:8" x14ac:dyDescent="0.25">
      <c r="F2552" s="3"/>
      <c r="H2552" s="1"/>
    </row>
    <row r="2553" spans="6:8" x14ac:dyDescent="0.25">
      <c r="F2553" s="3"/>
      <c r="H2553" s="1"/>
    </row>
    <row r="2554" spans="6:8" x14ac:dyDescent="0.25">
      <c r="F2554" s="3"/>
      <c r="H2554" s="1"/>
    </row>
    <row r="2555" spans="6:8" x14ac:dyDescent="0.25">
      <c r="F2555" s="3"/>
      <c r="H2555" s="1"/>
    </row>
    <row r="2556" spans="6:8" x14ac:dyDescent="0.25">
      <c r="F2556" s="3"/>
      <c r="H2556" s="1"/>
    </row>
    <row r="2557" spans="6:8" x14ac:dyDescent="0.25">
      <c r="F2557" s="3"/>
      <c r="H2557" s="1"/>
    </row>
    <row r="2558" spans="6:8" x14ac:dyDescent="0.25">
      <c r="F2558" s="3"/>
      <c r="H2558" s="1"/>
    </row>
    <row r="2559" spans="6:8" x14ac:dyDescent="0.25">
      <c r="F2559" s="3"/>
      <c r="H2559" s="1"/>
    </row>
    <row r="2560" spans="6:8" x14ac:dyDescent="0.25">
      <c r="F2560" s="3"/>
      <c r="H2560" s="1"/>
    </row>
    <row r="2561" spans="6:8" x14ac:dyDescent="0.25">
      <c r="F2561" s="3"/>
      <c r="H2561" s="1"/>
    </row>
    <row r="2562" spans="6:8" x14ac:dyDescent="0.25">
      <c r="F2562" s="3"/>
      <c r="H2562" s="1"/>
    </row>
    <row r="2563" spans="6:8" x14ac:dyDescent="0.25">
      <c r="F2563" s="3"/>
      <c r="H2563" s="1"/>
    </row>
    <row r="2564" spans="6:8" x14ac:dyDescent="0.25">
      <c r="F2564" s="3"/>
      <c r="H2564" s="1"/>
    </row>
    <row r="2565" spans="6:8" x14ac:dyDescent="0.25">
      <c r="F2565" s="3"/>
      <c r="H2565" s="1"/>
    </row>
    <row r="2566" spans="6:8" x14ac:dyDescent="0.25">
      <c r="F2566" s="3"/>
      <c r="H2566" s="1"/>
    </row>
    <row r="2567" spans="6:8" x14ac:dyDescent="0.25">
      <c r="F2567" s="3"/>
      <c r="H2567" s="1"/>
    </row>
    <row r="2568" spans="6:8" x14ac:dyDescent="0.25">
      <c r="F2568" s="3"/>
      <c r="H2568" s="1"/>
    </row>
    <row r="2569" spans="6:8" x14ac:dyDescent="0.25">
      <c r="F2569" s="3"/>
      <c r="H2569" s="1"/>
    </row>
    <row r="2570" spans="6:8" x14ac:dyDescent="0.25">
      <c r="F2570" s="3"/>
      <c r="H2570" s="1"/>
    </row>
    <row r="2571" spans="6:8" x14ac:dyDescent="0.25">
      <c r="F2571" s="3"/>
      <c r="H2571" s="1"/>
    </row>
    <row r="2572" spans="6:8" x14ac:dyDescent="0.25">
      <c r="F2572" s="3"/>
      <c r="H2572" s="1"/>
    </row>
    <row r="2573" spans="6:8" x14ac:dyDescent="0.25">
      <c r="F2573" s="3"/>
      <c r="H2573" s="1"/>
    </row>
    <row r="2574" spans="6:8" x14ac:dyDescent="0.25">
      <c r="F2574" s="3"/>
      <c r="H2574" s="1"/>
    </row>
    <row r="2575" spans="6:8" x14ac:dyDescent="0.25">
      <c r="F2575" s="3"/>
      <c r="H2575" s="1"/>
    </row>
    <row r="2576" spans="6:8" x14ac:dyDescent="0.25">
      <c r="F2576" s="3"/>
      <c r="H2576" s="1"/>
    </row>
    <row r="2577" spans="6:8" x14ac:dyDescent="0.25">
      <c r="F2577" s="3"/>
      <c r="H2577" s="1"/>
    </row>
    <row r="2578" spans="6:8" x14ac:dyDescent="0.25">
      <c r="F2578" s="3"/>
      <c r="H2578" s="1"/>
    </row>
    <row r="2579" spans="6:8" x14ac:dyDescent="0.25">
      <c r="F2579" s="3"/>
      <c r="H2579" s="1"/>
    </row>
    <row r="2580" spans="6:8" x14ac:dyDescent="0.25">
      <c r="F2580" s="3"/>
      <c r="H2580" s="1"/>
    </row>
    <row r="2581" spans="6:8" x14ac:dyDescent="0.25">
      <c r="F2581" s="3"/>
      <c r="H2581" s="1"/>
    </row>
    <row r="2582" spans="6:8" x14ac:dyDescent="0.25">
      <c r="F2582" s="3"/>
      <c r="H2582" s="1"/>
    </row>
    <row r="2583" spans="6:8" x14ac:dyDescent="0.25">
      <c r="F2583" s="3"/>
      <c r="H2583" s="1"/>
    </row>
    <row r="2584" spans="6:8" x14ac:dyDescent="0.25">
      <c r="F2584" s="3"/>
      <c r="H2584" s="1"/>
    </row>
    <row r="2585" spans="6:8" x14ac:dyDescent="0.25">
      <c r="F2585" s="3"/>
      <c r="H2585" s="1"/>
    </row>
    <row r="2586" spans="6:8" x14ac:dyDescent="0.25">
      <c r="F2586" s="3"/>
      <c r="H2586" s="1"/>
    </row>
    <row r="2587" spans="6:8" x14ac:dyDescent="0.25">
      <c r="F2587" s="3"/>
      <c r="H2587" s="1"/>
    </row>
    <row r="2588" spans="6:8" x14ac:dyDescent="0.25">
      <c r="F2588" s="3"/>
      <c r="H2588" s="1"/>
    </row>
    <row r="2589" spans="6:8" x14ac:dyDescent="0.25">
      <c r="F2589" s="3"/>
      <c r="H2589" s="1"/>
    </row>
    <row r="2590" spans="6:8" x14ac:dyDescent="0.25">
      <c r="F2590" s="3"/>
      <c r="H2590" s="1"/>
    </row>
    <row r="2591" spans="6:8" x14ac:dyDescent="0.25">
      <c r="F2591" s="3"/>
      <c r="H2591" s="1"/>
    </row>
    <row r="2592" spans="6:8" x14ac:dyDescent="0.25">
      <c r="F2592" s="3"/>
      <c r="H2592" s="1"/>
    </row>
    <row r="2593" spans="6:8" x14ac:dyDescent="0.25">
      <c r="F2593" s="3"/>
      <c r="H2593" s="1"/>
    </row>
    <row r="2594" spans="6:8" x14ac:dyDescent="0.25">
      <c r="F2594" s="3"/>
      <c r="H2594" s="1"/>
    </row>
    <row r="2595" spans="6:8" x14ac:dyDescent="0.25">
      <c r="F2595" s="3"/>
      <c r="H2595" s="1"/>
    </row>
    <row r="2596" spans="6:8" x14ac:dyDescent="0.25">
      <c r="F2596" s="3"/>
      <c r="H2596" s="1"/>
    </row>
    <row r="2597" spans="6:8" x14ac:dyDescent="0.25">
      <c r="F2597" s="3"/>
      <c r="H2597" s="1"/>
    </row>
    <row r="2598" spans="6:8" x14ac:dyDescent="0.25">
      <c r="F2598" s="3"/>
      <c r="H2598" s="1"/>
    </row>
    <row r="2599" spans="6:8" x14ac:dyDescent="0.25">
      <c r="F2599" s="3"/>
      <c r="H2599" s="1"/>
    </row>
    <row r="2600" spans="6:8" x14ac:dyDescent="0.25">
      <c r="F2600" s="3"/>
      <c r="H2600" s="1"/>
    </row>
    <row r="2601" spans="6:8" x14ac:dyDescent="0.25">
      <c r="F2601" s="3"/>
      <c r="H2601" s="1"/>
    </row>
    <row r="2602" spans="6:8" x14ac:dyDescent="0.25">
      <c r="F2602" s="3"/>
      <c r="H2602" s="1"/>
    </row>
    <row r="2603" spans="6:8" x14ac:dyDescent="0.25">
      <c r="F2603" s="3"/>
      <c r="H2603" s="1"/>
    </row>
    <row r="2604" spans="6:8" x14ac:dyDescent="0.25">
      <c r="F2604" s="3"/>
      <c r="H2604" s="1"/>
    </row>
    <row r="2605" spans="6:8" x14ac:dyDescent="0.25">
      <c r="F2605" s="3"/>
      <c r="H2605" s="1"/>
    </row>
    <row r="2606" spans="6:8" x14ac:dyDescent="0.25">
      <c r="F2606" s="3"/>
      <c r="H2606" s="1"/>
    </row>
    <row r="2607" spans="6:8" x14ac:dyDescent="0.25">
      <c r="F2607" s="3"/>
      <c r="H2607" s="1"/>
    </row>
    <row r="2608" spans="6:8" x14ac:dyDescent="0.25">
      <c r="F2608" s="3"/>
      <c r="H2608" s="1"/>
    </row>
    <row r="2609" spans="6:8" x14ac:dyDescent="0.25">
      <c r="F2609" s="3"/>
      <c r="H2609" s="1"/>
    </row>
    <row r="2610" spans="6:8" x14ac:dyDescent="0.25">
      <c r="F2610" s="3"/>
      <c r="H2610" s="1"/>
    </row>
    <row r="2611" spans="6:8" x14ac:dyDescent="0.25">
      <c r="F2611" s="3"/>
      <c r="H2611" s="1"/>
    </row>
    <row r="2612" spans="6:8" x14ac:dyDescent="0.25">
      <c r="F2612" s="3"/>
      <c r="H2612" s="1"/>
    </row>
    <row r="2613" spans="6:8" x14ac:dyDescent="0.25">
      <c r="F2613" s="3"/>
      <c r="H2613" s="1"/>
    </row>
    <row r="2614" spans="6:8" x14ac:dyDescent="0.25">
      <c r="F2614" s="3"/>
      <c r="H2614" s="1"/>
    </row>
    <row r="2615" spans="6:8" x14ac:dyDescent="0.25">
      <c r="F2615" s="3"/>
      <c r="H2615" s="1"/>
    </row>
    <row r="2616" spans="6:8" x14ac:dyDescent="0.25">
      <c r="F2616" s="3"/>
      <c r="H2616" s="1"/>
    </row>
    <row r="2617" spans="6:8" x14ac:dyDescent="0.25">
      <c r="F2617" s="3"/>
      <c r="H2617" s="1"/>
    </row>
    <row r="2618" spans="6:8" x14ac:dyDescent="0.25">
      <c r="F2618" s="3"/>
      <c r="H2618" s="1"/>
    </row>
    <row r="2619" spans="6:8" x14ac:dyDescent="0.25">
      <c r="F2619" s="3"/>
      <c r="H2619" s="1"/>
    </row>
    <row r="2620" spans="6:8" x14ac:dyDescent="0.25">
      <c r="F2620" s="3"/>
      <c r="H2620" s="1"/>
    </row>
    <row r="2621" spans="6:8" x14ac:dyDescent="0.25">
      <c r="F2621" s="3"/>
      <c r="H2621" s="1"/>
    </row>
    <row r="2622" spans="6:8" x14ac:dyDescent="0.25">
      <c r="F2622" s="3"/>
      <c r="H2622" s="1"/>
    </row>
    <row r="2623" spans="6:8" x14ac:dyDescent="0.25">
      <c r="F2623" s="3"/>
      <c r="H2623" s="1"/>
    </row>
    <row r="2624" spans="6:8" x14ac:dyDescent="0.25">
      <c r="F2624" s="3"/>
      <c r="H2624" s="1"/>
    </row>
    <row r="2625" spans="6:8" x14ac:dyDescent="0.25">
      <c r="F2625" s="3"/>
      <c r="H2625" s="1"/>
    </row>
    <row r="2626" spans="6:8" x14ac:dyDescent="0.25">
      <c r="F2626" s="3"/>
      <c r="H2626" s="1"/>
    </row>
    <row r="2627" spans="6:8" x14ac:dyDescent="0.25">
      <c r="F2627" s="3"/>
      <c r="H2627" s="1"/>
    </row>
    <row r="2628" spans="6:8" x14ac:dyDescent="0.25">
      <c r="F2628" s="3"/>
      <c r="H2628" s="1"/>
    </row>
    <row r="2629" spans="6:8" x14ac:dyDescent="0.25">
      <c r="F2629" s="3"/>
      <c r="H2629" s="1"/>
    </row>
    <row r="2630" spans="6:8" x14ac:dyDescent="0.25">
      <c r="F2630" s="3"/>
      <c r="H2630" s="1"/>
    </row>
    <row r="2631" spans="6:8" x14ac:dyDescent="0.25">
      <c r="F2631" s="3"/>
      <c r="H2631" s="1"/>
    </row>
    <row r="2632" spans="6:8" x14ac:dyDescent="0.25">
      <c r="F2632" s="3"/>
      <c r="H2632" s="1"/>
    </row>
    <row r="2633" spans="6:8" x14ac:dyDescent="0.25">
      <c r="F2633" s="3"/>
      <c r="H2633" s="1"/>
    </row>
    <row r="2634" spans="6:8" x14ac:dyDescent="0.25">
      <c r="F2634" s="3"/>
      <c r="H2634" s="1"/>
    </row>
    <row r="2635" spans="6:8" x14ac:dyDescent="0.25">
      <c r="F2635" s="3"/>
      <c r="H2635" s="1"/>
    </row>
    <row r="2636" spans="6:8" x14ac:dyDescent="0.25">
      <c r="F2636" s="3"/>
      <c r="H2636" s="1"/>
    </row>
    <row r="2637" spans="6:8" x14ac:dyDescent="0.25">
      <c r="F2637" s="3"/>
      <c r="H2637" s="1"/>
    </row>
    <row r="2638" spans="6:8" x14ac:dyDescent="0.25">
      <c r="F2638" s="3"/>
      <c r="H2638" s="1"/>
    </row>
    <row r="2639" spans="6:8" x14ac:dyDescent="0.25">
      <c r="F2639" s="3"/>
      <c r="H2639" s="1"/>
    </row>
    <row r="2640" spans="6:8" x14ac:dyDescent="0.25">
      <c r="F2640" s="3"/>
      <c r="H2640" s="1"/>
    </row>
    <row r="2641" spans="6:8" x14ac:dyDescent="0.25">
      <c r="F2641" s="3"/>
      <c r="H2641" s="1"/>
    </row>
    <row r="2642" spans="6:8" x14ac:dyDescent="0.25">
      <c r="F2642" s="3"/>
      <c r="H2642" s="1"/>
    </row>
    <row r="2643" spans="6:8" x14ac:dyDescent="0.25">
      <c r="F2643" s="3"/>
      <c r="H2643" s="1"/>
    </row>
    <row r="2644" spans="6:8" x14ac:dyDescent="0.25">
      <c r="F2644" s="3"/>
      <c r="H2644" s="1"/>
    </row>
    <row r="2645" spans="6:8" x14ac:dyDescent="0.25">
      <c r="F2645" s="3"/>
      <c r="H2645" s="1"/>
    </row>
    <row r="2646" spans="6:8" x14ac:dyDescent="0.25">
      <c r="F2646" s="3"/>
      <c r="H2646" s="1"/>
    </row>
    <row r="2647" spans="6:8" x14ac:dyDescent="0.25">
      <c r="F2647" s="3"/>
      <c r="H2647" s="1"/>
    </row>
    <row r="2648" spans="6:8" x14ac:dyDescent="0.25">
      <c r="F2648" s="3"/>
      <c r="H2648" s="1"/>
    </row>
    <row r="2649" spans="6:8" x14ac:dyDescent="0.25">
      <c r="F2649" s="3"/>
      <c r="H2649" s="1"/>
    </row>
    <row r="2650" spans="6:8" x14ac:dyDescent="0.25">
      <c r="F2650" s="3"/>
      <c r="H2650" s="1"/>
    </row>
    <row r="2651" spans="6:8" x14ac:dyDescent="0.25">
      <c r="F2651" s="3"/>
      <c r="H2651" s="1"/>
    </row>
    <row r="2652" spans="6:8" x14ac:dyDescent="0.25">
      <c r="F2652" s="3"/>
      <c r="H2652" s="1"/>
    </row>
    <row r="2653" spans="6:8" x14ac:dyDescent="0.25">
      <c r="F2653" s="3"/>
      <c r="H2653" s="1"/>
    </row>
    <row r="2654" spans="6:8" x14ac:dyDescent="0.25">
      <c r="F2654" s="3"/>
      <c r="H2654" s="1"/>
    </row>
    <row r="2655" spans="6:8" x14ac:dyDescent="0.25">
      <c r="F2655" s="3"/>
      <c r="H2655" s="1"/>
    </row>
    <row r="2656" spans="6:8" x14ac:dyDescent="0.25">
      <c r="F2656" s="3"/>
      <c r="H2656" s="1"/>
    </row>
    <row r="2657" spans="6:8" x14ac:dyDescent="0.25">
      <c r="F2657" s="3"/>
      <c r="H2657" s="1"/>
    </row>
    <row r="2658" spans="6:8" x14ac:dyDescent="0.25">
      <c r="F2658" s="3"/>
      <c r="H2658" s="1"/>
    </row>
    <row r="2659" spans="6:8" x14ac:dyDescent="0.25">
      <c r="F2659" s="3"/>
      <c r="H2659" s="1"/>
    </row>
    <row r="2660" spans="6:8" x14ac:dyDescent="0.25">
      <c r="F2660" s="3"/>
      <c r="H2660" s="1"/>
    </row>
    <row r="2661" spans="6:8" x14ac:dyDescent="0.25">
      <c r="F2661" s="3"/>
      <c r="H2661" s="1"/>
    </row>
    <row r="2662" spans="6:8" x14ac:dyDescent="0.25">
      <c r="F2662" s="3"/>
      <c r="H2662" s="1"/>
    </row>
    <row r="2663" spans="6:8" x14ac:dyDescent="0.25">
      <c r="F2663" s="3"/>
      <c r="H2663" s="1"/>
    </row>
    <row r="2664" spans="6:8" x14ac:dyDescent="0.25">
      <c r="F2664" s="3"/>
      <c r="H2664" s="1"/>
    </row>
    <row r="2665" spans="6:8" x14ac:dyDescent="0.25">
      <c r="F2665" s="3"/>
      <c r="H2665" s="1"/>
    </row>
    <row r="2666" spans="6:8" x14ac:dyDescent="0.25">
      <c r="F2666" s="3"/>
      <c r="H2666" s="1"/>
    </row>
    <row r="2667" spans="6:8" x14ac:dyDescent="0.25">
      <c r="F2667" s="3"/>
      <c r="H2667" s="1"/>
    </row>
    <row r="2668" spans="6:8" x14ac:dyDescent="0.25">
      <c r="F2668" s="3"/>
      <c r="H2668" s="1"/>
    </row>
    <row r="2669" spans="6:8" x14ac:dyDescent="0.25">
      <c r="F2669" s="3"/>
      <c r="H2669" s="1"/>
    </row>
    <row r="2670" spans="6:8" x14ac:dyDescent="0.25">
      <c r="F2670" s="3"/>
      <c r="H2670" s="1"/>
    </row>
    <row r="2671" spans="6:8" x14ac:dyDescent="0.25">
      <c r="F2671" s="3"/>
      <c r="H2671" s="1"/>
    </row>
    <row r="2672" spans="6:8" x14ac:dyDescent="0.25">
      <c r="F2672" s="3"/>
      <c r="H2672" s="1"/>
    </row>
    <row r="2673" spans="6:8" x14ac:dyDescent="0.25">
      <c r="F2673" s="3"/>
      <c r="H2673" s="1"/>
    </row>
    <row r="2674" spans="6:8" x14ac:dyDescent="0.25">
      <c r="F2674" s="3"/>
      <c r="H2674" s="1"/>
    </row>
    <row r="2675" spans="6:8" x14ac:dyDescent="0.25">
      <c r="F2675" s="3"/>
      <c r="H2675" s="1"/>
    </row>
    <row r="2676" spans="6:8" x14ac:dyDescent="0.25">
      <c r="F2676" s="3"/>
      <c r="H2676" s="1"/>
    </row>
    <row r="2677" spans="6:8" x14ac:dyDescent="0.25">
      <c r="F2677" s="3"/>
      <c r="H2677" s="1"/>
    </row>
    <row r="2678" spans="6:8" x14ac:dyDescent="0.25">
      <c r="F2678" s="3"/>
      <c r="H2678" s="1"/>
    </row>
    <row r="2679" spans="6:8" x14ac:dyDescent="0.25">
      <c r="F2679" s="3"/>
      <c r="H2679" s="1"/>
    </row>
    <row r="2680" spans="6:8" x14ac:dyDescent="0.25">
      <c r="F2680" s="3"/>
      <c r="H2680" s="1"/>
    </row>
    <row r="2681" spans="6:8" x14ac:dyDescent="0.25">
      <c r="F2681" s="3"/>
      <c r="H2681" s="1"/>
    </row>
    <row r="2682" spans="6:8" x14ac:dyDescent="0.25">
      <c r="F2682" s="3"/>
      <c r="H2682" s="1"/>
    </row>
    <row r="2683" spans="6:8" x14ac:dyDescent="0.25">
      <c r="F2683" s="3"/>
      <c r="H2683" s="1"/>
    </row>
    <row r="2684" spans="6:8" x14ac:dyDescent="0.25">
      <c r="F2684" s="3"/>
      <c r="H2684" s="1"/>
    </row>
    <row r="2685" spans="6:8" x14ac:dyDescent="0.25">
      <c r="F2685" s="3"/>
      <c r="H2685" s="1"/>
    </row>
    <row r="2686" spans="6:8" x14ac:dyDescent="0.25">
      <c r="F2686" s="3"/>
      <c r="H2686" s="1"/>
    </row>
    <row r="2687" spans="6:8" x14ac:dyDescent="0.25">
      <c r="F2687" s="3"/>
      <c r="H2687" s="1"/>
    </row>
    <row r="2688" spans="6:8" x14ac:dyDescent="0.25">
      <c r="F2688" s="3"/>
      <c r="H2688" s="1"/>
    </row>
    <row r="2689" spans="6:8" x14ac:dyDescent="0.25">
      <c r="F2689" s="3"/>
      <c r="H2689" s="1"/>
    </row>
    <row r="2690" spans="6:8" x14ac:dyDescent="0.25">
      <c r="F2690" s="3"/>
      <c r="H2690" s="1"/>
    </row>
    <row r="2691" spans="6:8" x14ac:dyDescent="0.25">
      <c r="F2691" s="3"/>
      <c r="H2691" s="1"/>
    </row>
    <row r="2692" spans="6:8" x14ac:dyDescent="0.25">
      <c r="F2692" s="3"/>
      <c r="H2692" s="1"/>
    </row>
    <row r="2693" spans="6:8" x14ac:dyDescent="0.25">
      <c r="F2693" s="3"/>
      <c r="H2693" s="1"/>
    </row>
    <row r="2694" spans="6:8" x14ac:dyDescent="0.25">
      <c r="F2694" s="3"/>
      <c r="H2694" s="1"/>
    </row>
    <row r="2695" spans="6:8" x14ac:dyDescent="0.25">
      <c r="F2695" s="3"/>
      <c r="H2695" s="1"/>
    </row>
    <row r="2696" spans="6:8" x14ac:dyDescent="0.25">
      <c r="F2696" s="3"/>
      <c r="H2696" s="1"/>
    </row>
    <row r="2697" spans="6:8" x14ac:dyDescent="0.25">
      <c r="F2697" s="3"/>
      <c r="H2697" s="1"/>
    </row>
    <row r="2698" spans="6:8" x14ac:dyDescent="0.25">
      <c r="F2698" s="3"/>
      <c r="H2698" s="1"/>
    </row>
    <row r="2699" spans="6:8" x14ac:dyDescent="0.25">
      <c r="F2699" s="3"/>
      <c r="H2699" s="1"/>
    </row>
    <row r="2700" spans="6:8" x14ac:dyDescent="0.25">
      <c r="F2700" s="3"/>
      <c r="H2700" s="1"/>
    </row>
    <row r="2701" spans="6:8" x14ac:dyDescent="0.25">
      <c r="F2701" s="3"/>
      <c r="H2701" s="1"/>
    </row>
    <row r="2702" spans="6:8" x14ac:dyDescent="0.25">
      <c r="F2702" s="3"/>
      <c r="H2702" s="1"/>
    </row>
    <row r="2703" spans="6:8" x14ac:dyDescent="0.25">
      <c r="F2703" s="3"/>
      <c r="H2703" s="1"/>
    </row>
    <row r="2704" spans="6:8" x14ac:dyDescent="0.25">
      <c r="F2704" s="3"/>
      <c r="H2704" s="1"/>
    </row>
    <row r="2705" spans="6:8" x14ac:dyDescent="0.25">
      <c r="F2705" s="3"/>
      <c r="H2705" s="1"/>
    </row>
    <row r="2706" spans="6:8" x14ac:dyDescent="0.25">
      <c r="F2706" s="3"/>
      <c r="H2706" s="1"/>
    </row>
    <row r="2707" spans="6:8" x14ac:dyDescent="0.25">
      <c r="F2707" s="3"/>
      <c r="H2707" s="1"/>
    </row>
    <row r="2708" spans="6:8" x14ac:dyDescent="0.25">
      <c r="F2708" s="3"/>
      <c r="H2708" s="1"/>
    </row>
    <row r="2709" spans="6:8" x14ac:dyDescent="0.25">
      <c r="F2709" s="3"/>
      <c r="H2709" s="1"/>
    </row>
    <row r="2710" spans="6:8" x14ac:dyDescent="0.25">
      <c r="F2710" s="3"/>
      <c r="H2710" s="1"/>
    </row>
    <row r="2711" spans="6:8" x14ac:dyDescent="0.25">
      <c r="F2711" s="3"/>
      <c r="H2711" s="1"/>
    </row>
    <row r="2712" spans="6:8" x14ac:dyDescent="0.25">
      <c r="F2712" s="3"/>
      <c r="H2712" s="1"/>
    </row>
    <row r="2713" spans="6:8" x14ac:dyDescent="0.25">
      <c r="F2713" s="3"/>
      <c r="H2713" s="1"/>
    </row>
    <row r="2714" spans="6:8" x14ac:dyDescent="0.25">
      <c r="F2714" s="3"/>
      <c r="H2714" s="1"/>
    </row>
    <row r="2715" spans="6:8" x14ac:dyDescent="0.25">
      <c r="F2715" s="3"/>
      <c r="H2715" s="1"/>
    </row>
    <row r="2716" spans="6:8" x14ac:dyDescent="0.25">
      <c r="F2716" s="3"/>
      <c r="H2716" s="1"/>
    </row>
    <row r="2717" spans="6:8" x14ac:dyDescent="0.25">
      <c r="F2717" s="3"/>
      <c r="H2717" s="1"/>
    </row>
    <row r="2718" spans="6:8" x14ac:dyDescent="0.25">
      <c r="F2718" s="3"/>
      <c r="H2718" s="1"/>
    </row>
    <row r="2719" spans="6:8" x14ac:dyDescent="0.25">
      <c r="F2719" s="3"/>
      <c r="H2719" s="1"/>
    </row>
    <row r="2720" spans="6:8" x14ac:dyDescent="0.25">
      <c r="F2720" s="3"/>
      <c r="H2720" s="1"/>
    </row>
    <row r="2721" spans="6:8" x14ac:dyDescent="0.25">
      <c r="F2721" s="3"/>
      <c r="H2721" s="1"/>
    </row>
    <row r="2722" spans="6:8" x14ac:dyDescent="0.25">
      <c r="F2722" s="3"/>
      <c r="H2722" s="1"/>
    </row>
    <row r="2723" spans="6:8" x14ac:dyDescent="0.25">
      <c r="F2723" s="3"/>
      <c r="H2723" s="1"/>
    </row>
    <row r="2724" spans="6:8" x14ac:dyDescent="0.25">
      <c r="F2724" s="3"/>
      <c r="H2724" s="1"/>
    </row>
    <row r="2725" spans="6:8" x14ac:dyDescent="0.25">
      <c r="F2725" s="3"/>
      <c r="H2725" s="1"/>
    </row>
    <row r="2726" spans="6:8" x14ac:dyDescent="0.25">
      <c r="F2726" s="3"/>
      <c r="H2726" s="1"/>
    </row>
    <row r="2727" spans="6:8" x14ac:dyDescent="0.25">
      <c r="F2727" s="3"/>
      <c r="H2727" s="1"/>
    </row>
    <row r="2728" spans="6:8" x14ac:dyDescent="0.25">
      <c r="F2728" s="3"/>
      <c r="H2728" s="1"/>
    </row>
    <row r="2729" spans="6:8" x14ac:dyDescent="0.25">
      <c r="F2729" s="1"/>
      <c r="H2729" s="1"/>
    </row>
    <row r="2730" spans="6:8" x14ac:dyDescent="0.25">
      <c r="F2730" s="1"/>
      <c r="H2730" s="1"/>
    </row>
    <row r="2731" spans="6:8" x14ac:dyDescent="0.25">
      <c r="F2731" s="1"/>
      <c r="H2731" s="1"/>
    </row>
    <row r="2732" spans="6:8" x14ac:dyDescent="0.25">
      <c r="F2732" s="1"/>
      <c r="H2732" s="1"/>
    </row>
    <row r="2733" spans="6:8" x14ac:dyDescent="0.25">
      <c r="F2733" s="1"/>
      <c r="H2733" s="1"/>
    </row>
    <row r="2734" spans="6:8" x14ac:dyDescent="0.25">
      <c r="F2734" s="1"/>
      <c r="H2734" s="1"/>
    </row>
    <row r="2735" spans="6:8" x14ac:dyDescent="0.25">
      <c r="F2735" s="1"/>
      <c r="H2735" s="1"/>
    </row>
    <row r="2736" spans="6:8" x14ac:dyDescent="0.25">
      <c r="F2736" s="1"/>
      <c r="H2736" s="1"/>
    </row>
    <row r="2737" spans="6:8" x14ac:dyDescent="0.25">
      <c r="F2737" s="1"/>
      <c r="H2737" s="1"/>
    </row>
    <row r="2738" spans="6:8" x14ac:dyDescent="0.25">
      <c r="F2738" s="1"/>
      <c r="H2738" s="1"/>
    </row>
    <row r="2739" spans="6:8" x14ac:dyDescent="0.25">
      <c r="F2739" s="1"/>
      <c r="H2739" s="1"/>
    </row>
    <row r="2740" spans="6:8" x14ac:dyDescent="0.25">
      <c r="F2740" s="1"/>
      <c r="H2740" s="1"/>
    </row>
    <row r="2741" spans="6:8" x14ac:dyDescent="0.25">
      <c r="F2741" s="1"/>
      <c r="H2741" s="1"/>
    </row>
    <row r="2742" spans="6:8" x14ac:dyDescent="0.25">
      <c r="F2742" s="1"/>
      <c r="H2742" s="1"/>
    </row>
    <row r="2743" spans="6:8" x14ac:dyDescent="0.25">
      <c r="F2743" s="1"/>
      <c r="H2743" s="1"/>
    </row>
    <row r="2744" spans="6:8" x14ac:dyDescent="0.25">
      <c r="F2744" s="1"/>
      <c r="H2744" s="1"/>
    </row>
    <row r="2745" spans="6:8" x14ac:dyDescent="0.25">
      <c r="F2745" s="1"/>
      <c r="H2745" s="1"/>
    </row>
    <row r="2746" spans="6:8" x14ac:dyDescent="0.25">
      <c r="F2746" s="1"/>
      <c r="H2746" s="1"/>
    </row>
    <row r="2747" spans="6:8" x14ac:dyDescent="0.25">
      <c r="F2747" s="1"/>
      <c r="H2747" s="1"/>
    </row>
    <row r="2748" spans="6:8" x14ac:dyDescent="0.25">
      <c r="F2748" s="1"/>
      <c r="H2748" s="1"/>
    </row>
    <row r="2749" spans="6:8" x14ac:dyDescent="0.25">
      <c r="F2749" s="1"/>
      <c r="H2749" s="1"/>
    </row>
    <row r="2750" spans="6:8" x14ac:dyDescent="0.25">
      <c r="F2750" s="1"/>
      <c r="H2750" s="1"/>
    </row>
    <row r="2751" spans="6:8" x14ac:dyDescent="0.25">
      <c r="F2751" s="1"/>
      <c r="H2751" s="1"/>
    </row>
    <row r="2752" spans="6:8" x14ac:dyDescent="0.25">
      <c r="F2752" s="1"/>
      <c r="H2752" s="1"/>
    </row>
    <row r="2753" spans="6:8" x14ac:dyDescent="0.25">
      <c r="F2753" s="1"/>
      <c r="H2753" s="1"/>
    </row>
    <row r="2754" spans="6:8" x14ac:dyDescent="0.25">
      <c r="F2754" s="1"/>
      <c r="H2754" s="1"/>
    </row>
  </sheetData>
  <mergeCells count="2">
    <mergeCell ref="G2:J2"/>
    <mergeCell ref="G3:J3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Add_Open">
                <anchor moveWithCells="1">
                  <from>
                    <xdr:col>3</xdr:col>
                    <xdr:colOff>95250</xdr:colOff>
                    <xdr:row>1</xdr:row>
                    <xdr:rowOff>9525</xdr:rowOff>
                  </from>
                  <to>
                    <xdr:col>4</xdr:col>
                    <xdr:colOff>361950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utton3_Click">
                <anchor moveWithCells="1">
                  <from>
                    <xdr:col>11</xdr:col>
                    <xdr:colOff>95250</xdr:colOff>
                    <xdr:row>1</xdr:row>
                    <xdr:rowOff>19050</xdr:rowOff>
                  </from>
                  <to>
                    <xdr:col>12</xdr:col>
                    <xdr:colOff>361950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Sheet1.Add_Data">
                <anchor moveWithCells="1" sizeWithCells="1">
                  <from>
                    <xdr:col>11</xdr:col>
                    <xdr:colOff>95250</xdr:colOff>
                    <xdr:row>3</xdr:row>
                    <xdr:rowOff>161925</xdr:rowOff>
                  </from>
                  <to>
                    <xdr:col>12</xdr:col>
                    <xdr:colOff>342900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OFFSET(References!$A$2,0,0,COUNTA(LOBs),-1)</xm:f>
          </x14:formula1>
          <xm:sqref>G3 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2824"/>
  <sheetViews>
    <sheetView tabSelected="1" topLeftCell="R1" workbookViewId="0">
      <selection activeCell="AE15" sqref="AE15"/>
    </sheetView>
  </sheetViews>
  <sheetFormatPr defaultRowHeight="12.75" x14ac:dyDescent="0.2"/>
  <cols>
    <col min="1" max="2" width="9.140625" style="3"/>
    <col min="3" max="7" width="9.140625" style="1"/>
    <col min="8" max="9" width="9.140625" style="3"/>
    <col min="10" max="10" width="1.7109375" style="1" customWidth="1"/>
    <col min="11" max="17" width="9.140625" style="1"/>
    <col min="18" max="19" width="9.140625" style="3"/>
    <col min="20" max="20" width="1.7109375" style="1" customWidth="1"/>
    <col min="21" max="27" width="9.140625" style="1"/>
    <col min="28" max="29" width="9.140625" style="3"/>
    <col min="30" max="30" width="1.7109375" style="1" customWidth="1"/>
    <col min="31" max="37" width="9.140625" style="1"/>
    <col min="38" max="39" width="9.140625" style="3"/>
    <col min="40" max="16384" width="9.140625" style="1"/>
  </cols>
  <sheetData>
    <row r="1" spans="1:39" x14ac:dyDescent="0.2">
      <c r="A1" s="45" t="s">
        <v>7</v>
      </c>
      <c r="B1" s="46"/>
      <c r="C1" s="46"/>
      <c r="D1" s="46"/>
      <c r="E1" s="46"/>
      <c r="F1" s="46"/>
      <c r="G1" s="46"/>
      <c r="H1" s="46"/>
      <c r="I1" s="46"/>
      <c r="K1" s="49" t="s">
        <v>8</v>
      </c>
      <c r="L1" s="50"/>
      <c r="M1" s="50"/>
      <c r="N1" s="50"/>
      <c r="O1" s="50"/>
      <c r="P1" s="50"/>
      <c r="Q1" s="50"/>
      <c r="R1" s="50"/>
      <c r="S1" s="50"/>
      <c r="U1" s="43" t="s">
        <v>9</v>
      </c>
      <c r="V1" s="43"/>
      <c r="W1" s="43"/>
      <c r="X1" s="43"/>
      <c r="Y1" s="43"/>
      <c r="Z1" s="43"/>
      <c r="AA1" s="43"/>
      <c r="AB1" s="17"/>
      <c r="AC1" s="35"/>
      <c r="AE1" s="43" t="s">
        <v>10</v>
      </c>
      <c r="AF1" s="43"/>
      <c r="AG1" s="43"/>
      <c r="AH1" s="43"/>
      <c r="AI1" s="43"/>
      <c r="AJ1" s="43"/>
      <c r="AK1" s="43"/>
      <c r="AL1" s="17"/>
      <c r="AM1" s="35"/>
    </row>
    <row r="2" spans="1:39" x14ac:dyDescent="0.2">
      <c r="A2" s="47" t="s">
        <v>0</v>
      </c>
      <c r="B2" s="48"/>
      <c r="C2" s="48"/>
      <c r="D2" s="48"/>
      <c r="E2" s="48"/>
      <c r="F2" s="48"/>
      <c r="G2" s="48"/>
      <c r="H2" s="48"/>
      <c r="I2" s="48"/>
      <c r="K2" s="47" t="s">
        <v>0</v>
      </c>
      <c r="L2" s="48"/>
      <c r="M2" s="48"/>
      <c r="N2" s="48"/>
      <c r="O2" s="48"/>
      <c r="P2" s="48"/>
      <c r="Q2" s="48"/>
      <c r="R2" s="48"/>
      <c r="S2" s="48"/>
      <c r="U2" s="44" t="s">
        <v>0</v>
      </c>
      <c r="V2" s="44"/>
      <c r="W2" s="44"/>
      <c r="X2" s="44"/>
      <c r="Y2" s="44"/>
      <c r="Z2" s="44"/>
      <c r="AA2" s="44"/>
      <c r="AB2" s="18"/>
      <c r="AC2" s="15"/>
      <c r="AE2" s="44" t="s">
        <v>0</v>
      </c>
      <c r="AF2" s="44"/>
      <c r="AG2" s="44"/>
      <c r="AH2" s="44"/>
      <c r="AI2" s="44"/>
      <c r="AJ2" s="44"/>
      <c r="AK2" s="44"/>
      <c r="AL2" s="18"/>
      <c r="AM2" s="15"/>
    </row>
    <row r="3" spans="1:39" x14ac:dyDescent="0.2">
      <c r="A3" s="4" t="s">
        <v>1</v>
      </c>
      <c r="B3" s="4" t="s">
        <v>11</v>
      </c>
      <c r="C3" s="4" t="s">
        <v>2</v>
      </c>
      <c r="D3" s="4" t="s">
        <v>3</v>
      </c>
      <c r="E3" s="4" t="s">
        <v>4</v>
      </c>
      <c r="F3" s="4" t="s">
        <v>5</v>
      </c>
      <c r="G3" s="4" t="s">
        <v>6</v>
      </c>
      <c r="H3" s="4" t="s">
        <v>20</v>
      </c>
      <c r="I3" s="19" t="s">
        <v>15</v>
      </c>
      <c r="K3" s="4" t="s">
        <v>1</v>
      </c>
      <c r="L3" s="4" t="s">
        <v>11</v>
      </c>
      <c r="M3" s="4" t="s">
        <v>2</v>
      </c>
      <c r="N3" s="4" t="s">
        <v>3</v>
      </c>
      <c r="O3" s="4" t="s">
        <v>4</v>
      </c>
      <c r="P3" s="4" t="s">
        <v>5</v>
      </c>
      <c r="Q3" s="4" t="s">
        <v>6</v>
      </c>
      <c r="R3" s="19" t="s">
        <v>20</v>
      </c>
      <c r="S3" s="19" t="s">
        <v>15</v>
      </c>
      <c r="U3" s="4" t="s">
        <v>1</v>
      </c>
      <c r="V3" s="4" t="s">
        <v>11</v>
      </c>
      <c r="W3" s="4" t="s">
        <v>2</v>
      </c>
      <c r="X3" s="4" t="s">
        <v>3</v>
      </c>
      <c r="Y3" s="4" t="s">
        <v>4</v>
      </c>
      <c r="Z3" s="4" t="s">
        <v>5</v>
      </c>
      <c r="AA3" s="4" t="s">
        <v>6</v>
      </c>
      <c r="AB3" s="19" t="s">
        <v>20</v>
      </c>
      <c r="AC3" s="19" t="s">
        <v>15</v>
      </c>
      <c r="AE3" s="8" t="s">
        <v>1</v>
      </c>
      <c r="AF3" s="8" t="s">
        <v>11</v>
      </c>
      <c r="AG3" s="8" t="s">
        <v>2</v>
      </c>
      <c r="AH3" s="8" t="s">
        <v>3</v>
      </c>
      <c r="AI3" s="8" t="s">
        <v>4</v>
      </c>
      <c r="AJ3" s="8" t="s">
        <v>5</v>
      </c>
      <c r="AK3" s="8" t="s">
        <v>6</v>
      </c>
      <c r="AL3" s="19" t="s">
        <v>20</v>
      </c>
      <c r="AM3" s="19" t="s">
        <v>15</v>
      </c>
    </row>
    <row r="4" spans="1:39" ht="15" x14ac:dyDescent="0.2">
      <c r="A4" s="5">
        <v>0.45833333333333331</v>
      </c>
      <c r="B4" s="34">
        <v>1</v>
      </c>
      <c r="C4" s="4">
        <v>0.1</v>
      </c>
      <c r="D4" s="4" t="str">
        <f t="shared" ref="D4:G19" si="0">D$3&amp;$A$1</f>
        <v>TueMAPD</v>
      </c>
      <c r="E4" s="4" t="str">
        <f t="shared" si="0"/>
        <v>WedMAPD</v>
      </c>
      <c r="F4" s="4" t="str">
        <f t="shared" si="0"/>
        <v>ThuMAPD</v>
      </c>
      <c r="G4" s="4" t="str">
        <f t="shared" si="0"/>
        <v>FriMAPD</v>
      </c>
      <c r="H4" s="16" t="str">
        <f>IF($A4="","",LEFT($A$1,2)&amp;(RIGHT($A4,2)+1))</f>
        <v>MA34</v>
      </c>
      <c r="I4" s="4" t="str">
        <f>$A$1</f>
        <v>MAPD</v>
      </c>
      <c r="K4" s="5">
        <v>0.33333333333333331</v>
      </c>
      <c r="L4" s="34">
        <v>1</v>
      </c>
      <c r="M4" s="6" t="str">
        <f>M$3&amp;$K$1</f>
        <v>MonPMHS</v>
      </c>
      <c r="N4" s="6" t="str">
        <f t="shared" ref="N4:Q19" si="1">N$3&amp;$K$1</f>
        <v>TuePMHS</v>
      </c>
      <c r="O4" s="6" t="str">
        <f t="shared" si="1"/>
        <v>WedPMHS</v>
      </c>
      <c r="P4" s="6" t="str">
        <f t="shared" si="1"/>
        <v>ThuPMHS</v>
      </c>
      <c r="Q4" s="6" t="str">
        <f t="shared" si="1"/>
        <v>FriPMHS</v>
      </c>
      <c r="R4" s="16" t="str">
        <f>IF($K4="","",LEFT($K$1,2)&amp;(RIGHT($K4,2)+1))</f>
        <v>PM34</v>
      </c>
      <c r="S4" s="19" t="str">
        <f>$K$1</f>
        <v>PMHS</v>
      </c>
      <c r="U4" s="5">
        <v>0.33333333333333331</v>
      </c>
      <c r="V4" s="34">
        <v>1</v>
      </c>
      <c r="W4" s="6" t="str">
        <f>W$3&amp;$U$1</f>
        <v>MonMedPro</v>
      </c>
      <c r="X4" s="6" t="str">
        <f t="shared" ref="X4:AA19" si="2">X$3&amp;$U$1</f>
        <v>TueMedPro</v>
      </c>
      <c r="Y4" s="6" t="str">
        <f t="shared" si="2"/>
        <v>WedMedPro</v>
      </c>
      <c r="Z4" s="6" t="str">
        <f t="shared" si="2"/>
        <v>ThuMedPro</v>
      </c>
      <c r="AA4" s="6" t="str">
        <f t="shared" si="2"/>
        <v>FriMedPro</v>
      </c>
      <c r="AB4" s="16" t="str">
        <f>IF($U4="","",LEFT($U$1,2)&amp;(RIGHT($U4,2)+1))</f>
        <v>Me34</v>
      </c>
      <c r="AC4" s="19" t="str">
        <f>$U$1</f>
        <v>MedPro</v>
      </c>
      <c r="AE4" s="5">
        <v>0.29166666666666669</v>
      </c>
      <c r="AF4" s="34">
        <v>1</v>
      </c>
      <c r="AG4" s="6" t="str">
        <f>AG$3&amp;$AE$1</f>
        <v>MonPWR</v>
      </c>
      <c r="AH4" s="6" t="str">
        <f t="shared" ref="AH4:AK19" si="3">AH$3&amp;$AE$1</f>
        <v>TuePWR</v>
      </c>
      <c r="AI4" s="6" t="str">
        <f t="shared" si="3"/>
        <v>WedPWR</v>
      </c>
      <c r="AJ4" s="6" t="str">
        <f t="shared" si="3"/>
        <v>ThuPWR</v>
      </c>
      <c r="AK4" s="6" t="str">
        <f t="shared" si="3"/>
        <v>FriPWR</v>
      </c>
      <c r="AL4" s="16" t="str">
        <f>IF($AE4="","",LEFT($AE$1,2)&amp;(RIGHT($AE4,2)+1))</f>
        <v>PW68</v>
      </c>
      <c r="AM4" s="19" t="str">
        <f>$AE$1</f>
        <v>PWR</v>
      </c>
    </row>
    <row r="5" spans="1:39" ht="15" x14ac:dyDescent="0.2">
      <c r="A5" s="5">
        <v>0.47916666666666669</v>
      </c>
      <c r="B5" s="34">
        <v>2</v>
      </c>
      <c r="C5" s="4">
        <v>2</v>
      </c>
      <c r="D5" s="4" t="str">
        <f t="shared" si="0"/>
        <v>TueMAPD</v>
      </c>
      <c r="E5" s="4" t="str">
        <f t="shared" si="0"/>
        <v>WedMAPD</v>
      </c>
      <c r="F5" s="4" t="str">
        <f t="shared" si="0"/>
        <v>ThuMAPD</v>
      </c>
      <c r="G5" s="4" t="str">
        <f t="shared" si="0"/>
        <v>FriMAPD</v>
      </c>
      <c r="H5" s="16" t="str">
        <f t="shared" ref="H5:H21" si="4">IF($A5="","",LEFT($A$1,2)&amp;(RIGHT($A5,2)+1))</f>
        <v>MA68</v>
      </c>
      <c r="I5" s="4" t="str">
        <f t="shared" ref="I5:I21" si="5">$A$1</f>
        <v>MAPD</v>
      </c>
      <c r="K5" s="5">
        <v>0.35416666666666669</v>
      </c>
      <c r="L5" s="34">
        <v>2</v>
      </c>
      <c r="M5" s="6" t="str">
        <f t="shared" ref="M5:Q27" si="6">M$3&amp;$K$1</f>
        <v>MonPMHS</v>
      </c>
      <c r="N5" s="6" t="str">
        <f t="shared" si="1"/>
        <v>TuePMHS</v>
      </c>
      <c r="O5" s="6" t="str">
        <f t="shared" si="1"/>
        <v>WedPMHS</v>
      </c>
      <c r="P5" s="6" t="str">
        <f t="shared" si="1"/>
        <v>ThuPMHS</v>
      </c>
      <c r="Q5" s="6" t="str">
        <f t="shared" si="1"/>
        <v>FriPMHS</v>
      </c>
      <c r="R5" s="16" t="str">
        <f t="shared" ref="R5:R27" si="7">IF($K5="","",LEFT($K$1,2)&amp;(RIGHT($K5,2)+1))</f>
        <v>PM68</v>
      </c>
      <c r="S5" s="19" t="str">
        <f t="shared" ref="S5:S27" si="8">$K$1</f>
        <v>PMHS</v>
      </c>
      <c r="U5" s="5">
        <v>0.35416666666666669</v>
      </c>
      <c r="V5" s="34">
        <v>2</v>
      </c>
      <c r="W5" s="6" t="str">
        <f t="shared" ref="W5:AA27" si="9">W$3&amp;$U$1</f>
        <v>MonMedPro</v>
      </c>
      <c r="X5" s="6" t="str">
        <f t="shared" si="2"/>
        <v>TueMedPro</v>
      </c>
      <c r="Y5" s="6" t="str">
        <f t="shared" si="2"/>
        <v>WedMedPro</v>
      </c>
      <c r="Z5" s="6" t="str">
        <f t="shared" si="2"/>
        <v>ThuMedPro</v>
      </c>
      <c r="AA5" s="6" t="str">
        <f t="shared" si="2"/>
        <v>FriMedPro</v>
      </c>
      <c r="AB5" s="16" t="str">
        <f t="shared" ref="AB5:AB27" si="10">IF($U5="","",LEFT($U$1,2)&amp;(RIGHT($U5,2)+1))</f>
        <v>Me68</v>
      </c>
      <c r="AC5" s="19" t="str">
        <f t="shared" ref="AC5:AC27" si="11">$U$1</f>
        <v>MedPro</v>
      </c>
      <c r="AE5" s="5">
        <v>0.3125</v>
      </c>
      <c r="AF5" s="34">
        <v>2</v>
      </c>
      <c r="AG5" s="6" t="str">
        <f t="shared" ref="AG5:AK27" si="12">AG$3&amp;$AE$1</f>
        <v>MonPWR</v>
      </c>
      <c r="AH5" s="6" t="str">
        <f t="shared" si="3"/>
        <v>TuePWR</v>
      </c>
      <c r="AI5" s="6" t="str">
        <f t="shared" si="3"/>
        <v>WedPWR</v>
      </c>
      <c r="AJ5" s="6" t="str">
        <f t="shared" si="3"/>
        <v>ThuPWR</v>
      </c>
      <c r="AK5" s="6" t="str">
        <f t="shared" si="3"/>
        <v>FriPWR</v>
      </c>
      <c r="AL5" s="16" t="str">
        <f t="shared" ref="AL5:AL27" si="13">IF($AE5="","",LEFT($AE$1,2)&amp;(RIGHT($AE5,2)+1))</f>
        <v>PW26</v>
      </c>
      <c r="AM5" s="19" t="str">
        <f t="shared" ref="AM5:AM27" si="14">$AE$1</f>
        <v>PWR</v>
      </c>
    </row>
    <row r="6" spans="1:39" ht="15" x14ac:dyDescent="0.2">
      <c r="A6" s="5">
        <v>0.5</v>
      </c>
      <c r="B6" s="34">
        <v>3</v>
      </c>
      <c r="C6" s="4" t="str">
        <f t="shared" ref="C6:G21" si="15">C$3&amp;$A$1</f>
        <v>MonMAPD</v>
      </c>
      <c r="D6" s="4" t="str">
        <f t="shared" si="0"/>
        <v>TueMAPD</v>
      </c>
      <c r="E6" s="4" t="str">
        <f t="shared" si="0"/>
        <v>WedMAPD</v>
      </c>
      <c r="F6" s="4" t="str">
        <f t="shared" si="0"/>
        <v>ThuMAPD</v>
      </c>
      <c r="G6" s="4" t="str">
        <f t="shared" si="0"/>
        <v>FriMAPD</v>
      </c>
      <c r="H6" s="16" t="str">
        <f t="shared" si="4"/>
        <v>MA1.5</v>
      </c>
      <c r="I6" s="4" t="str">
        <f t="shared" si="5"/>
        <v>MAPD</v>
      </c>
      <c r="K6" s="5">
        <v>0.375</v>
      </c>
      <c r="L6" s="34">
        <v>3</v>
      </c>
      <c r="M6" s="6" t="str">
        <f t="shared" si="6"/>
        <v>MonPMHS</v>
      </c>
      <c r="N6" s="6" t="str">
        <f t="shared" si="1"/>
        <v>TuePMHS</v>
      </c>
      <c r="O6" s="6" t="str">
        <f t="shared" si="1"/>
        <v>WedPMHS</v>
      </c>
      <c r="P6" s="6" t="str">
        <f t="shared" si="1"/>
        <v>ThuPMHS</v>
      </c>
      <c r="Q6" s="6" t="str">
        <f t="shared" si="1"/>
        <v>FriPMHS</v>
      </c>
      <c r="R6" s="16" t="str">
        <f t="shared" si="7"/>
        <v>PM76</v>
      </c>
      <c r="S6" s="19" t="str">
        <f t="shared" si="8"/>
        <v>PMHS</v>
      </c>
      <c r="U6" s="5">
        <v>0.375</v>
      </c>
      <c r="V6" s="34">
        <v>3</v>
      </c>
      <c r="W6" s="6" t="str">
        <f t="shared" si="9"/>
        <v>MonMedPro</v>
      </c>
      <c r="X6" s="6" t="str">
        <f t="shared" si="2"/>
        <v>TueMedPro</v>
      </c>
      <c r="Y6" s="6" t="str">
        <f t="shared" si="2"/>
        <v>WedMedPro</v>
      </c>
      <c r="Z6" s="6" t="str">
        <f t="shared" si="2"/>
        <v>ThuMedPro</v>
      </c>
      <c r="AA6" s="6" t="str">
        <f t="shared" si="2"/>
        <v>FriMedPro</v>
      </c>
      <c r="AB6" s="16" t="str">
        <f t="shared" si="10"/>
        <v>Me76</v>
      </c>
      <c r="AC6" s="19" t="str">
        <f t="shared" si="11"/>
        <v>MedPro</v>
      </c>
      <c r="AE6" s="5">
        <v>0.33333333333333298</v>
      </c>
      <c r="AF6" s="34">
        <v>3</v>
      </c>
      <c r="AG6" s="6" t="str">
        <f t="shared" si="12"/>
        <v>MonPWR</v>
      </c>
      <c r="AH6" s="6" t="str">
        <f t="shared" si="3"/>
        <v>TuePWR</v>
      </c>
      <c r="AI6" s="6" t="str">
        <f t="shared" si="3"/>
        <v>WedPWR</v>
      </c>
      <c r="AJ6" s="6" t="str">
        <f t="shared" si="3"/>
        <v>ThuPWR</v>
      </c>
      <c r="AK6" s="6" t="str">
        <f t="shared" si="3"/>
        <v>FriPWR</v>
      </c>
      <c r="AL6" s="16" t="str">
        <f t="shared" si="13"/>
        <v>PW34</v>
      </c>
      <c r="AM6" s="19" t="str">
        <f t="shared" si="14"/>
        <v>PWR</v>
      </c>
    </row>
    <row r="7" spans="1:39" ht="15" x14ac:dyDescent="0.2">
      <c r="A7" s="5">
        <v>0.52083333333333304</v>
      </c>
      <c r="B7" s="34">
        <v>4</v>
      </c>
      <c r="C7" s="4" t="str">
        <f t="shared" si="15"/>
        <v>MonMAPD</v>
      </c>
      <c r="D7" s="4" t="str">
        <f t="shared" si="0"/>
        <v>TueMAPD</v>
      </c>
      <c r="E7" s="4" t="str">
        <f t="shared" si="0"/>
        <v>WedMAPD</v>
      </c>
      <c r="F7" s="4" t="str">
        <f t="shared" si="0"/>
        <v>ThuMAPD</v>
      </c>
      <c r="G7" s="4" t="str">
        <f t="shared" si="0"/>
        <v>FriMAPD</v>
      </c>
      <c r="H7" s="16" t="str">
        <f t="shared" si="4"/>
        <v>MA34</v>
      </c>
      <c r="I7" s="4" t="str">
        <f t="shared" si="5"/>
        <v>MAPD</v>
      </c>
      <c r="K7" s="5">
        <v>0.39583333333333298</v>
      </c>
      <c r="L7" s="34">
        <v>4</v>
      </c>
      <c r="M7" s="6" t="str">
        <f t="shared" si="6"/>
        <v>MonPMHS</v>
      </c>
      <c r="N7" s="6" t="str">
        <f t="shared" si="1"/>
        <v>TuePMHS</v>
      </c>
      <c r="O7" s="6" t="str">
        <f t="shared" si="1"/>
        <v>WedPMHS</v>
      </c>
      <c r="P7" s="6" t="str">
        <f t="shared" si="1"/>
        <v>ThuPMHS</v>
      </c>
      <c r="Q7" s="6" t="str">
        <f t="shared" si="1"/>
        <v>FriPMHS</v>
      </c>
      <c r="R7" s="16" t="str">
        <f t="shared" si="7"/>
        <v>PM34</v>
      </c>
      <c r="S7" s="19" t="str">
        <f t="shared" si="8"/>
        <v>PMHS</v>
      </c>
      <c r="U7" s="5">
        <v>0.39583333333333298</v>
      </c>
      <c r="V7" s="34">
        <v>4</v>
      </c>
      <c r="W7" s="6" t="str">
        <f t="shared" si="9"/>
        <v>MonMedPro</v>
      </c>
      <c r="X7" s="6" t="str">
        <f t="shared" si="2"/>
        <v>TueMedPro</v>
      </c>
      <c r="Y7" s="6" t="str">
        <f t="shared" si="2"/>
        <v>WedMedPro</v>
      </c>
      <c r="Z7" s="6" t="str">
        <f t="shared" si="2"/>
        <v>ThuMedPro</v>
      </c>
      <c r="AA7" s="6" t="str">
        <f t="shared" si="2"/>
        <v>FriMedPro</v>
      </c>
      <c r="AB7" s="16" t="str">
        <f t="shared" si="10"/>
        <v>Me34</v>
      </c>
      <c r="AC7" s="19" t="str">
        <f t="shared" si="11"/>
        <v>MedPro</v>
      </c>
      <c r="AE7" s="5">
        <v>0.35416666666666702</v>
      </c>
      <c r="AF7" s="34">
        <v>4</v>
      </c>
      <c r="AG7" s="6" t="str">
        <f t="shared" si="12"/>
        <v>MonPWR</v>
      </c>
      <c r="AH7" s="6" t="str">
        <f t="shared" si="3"/>
        <v>TuePWR</v>
      </c>
      <c r="AI7" s="6" t="str">
        <f t="shared" si="3"/>
        <v>WedPWR</v>
      </c>
      <c r="AJ7" s="6" t="str">
        <f t="shared" si="3"/>
        <v>ThuPWR</v>
      </c>
      <c r="AK7" s="6" t="str">
        <f t="shared" si="3"/>
        <v>FriPWR</v>
      </c>
      <c r="AL7" s="16" t="str">
        <f t="shared" si="13"/>
        <v>PW68</v>
      </c>
      <c r="AM7" s="19" t="str">
        <f t="shared" si="14"/>
        <v>PWR</v>
      </c>
    </row>
    <row r="8" spans="1:39" ht="15" x14ac:dyDescent="0.2">
      <c r="A8" s="5">
        <v>0.54166666666666696</v>
      </c>
      <c r="B8" s="34">
        <v>5</v>
      </c>
      <c r="C8" s="4" t="str">
        <f t="shared" si="15"/>
        <v>MonMAPD</v>
      </c>
      <c r="D8" s="4" t="str">
        <f t="shared" si="0"/>
        <v>TueMAPD</v>
      </c>
      <c r="E8" s="4" t="str">
        <f t="shared" si="0"/>
        <v>WedMAPD</v>
      </c>
      <c r="F8" s="4" t="str">
        <f t="shared" si="0"/>
        <v>ThuMAPD</v>
      </c>
      <c r="G8" s="4" t="str">
        <f t="shared" si="0"/>
        <v>FriMAPD</v>
      </c>
      <c r="H8" s="16" t="str">
        <f t="shared" si="4"/>
        <v>MA68</v>
      </c>
      <c r="I8" s="4" t="str">
        <f t="shared" si="5"/>
        <v>MAPD</v>
      </c>
      <c r="K8" s="5">
        <v>0.41666666666666702</v>
      </c>
      <c r="L8" s="34">
        <v>5</v>
      </c>
      <c r="M8" s="6" t="str">
        <f t="shared" si="6"/>
        <v>MonPMHS</v>
      </c>
      <c r="N8" s="6" t="str">
        <f t="shared" si="1"/>
        <v>TuePMHS</v>
      </c>
      <c r="O8" s="6" t="str">
        <f t="shared" si="1"/>
        <v>WedPMHS</v>
      </c>
      <c r="P8" s="6" t="str">
        <f t="shared" si="1"/>
        <v>ThuPMHS</v>
      </c>
      <c r="Q8" s="6" t="str">
        <f t="shared" si="1"/>
        <v>FriPMHS</v>
      </c>
      <c r="R8" s="16" t="str">
        <f t="shared" si="7"/>
        <v>PM68</v>
      </c>
      <c r="S8" s="19" t="str">
        <f t="shared" si="8"/>
        <v>PMHS</v>
      </c>
      <c r="U8" s="5">
        <v>0.41666666666666702</v>
      </c>
      <c r="V8" s="34">
        <v>5</v>
      </c>
      <c r="W8" s="6" t="str">
        <f t="shared" si="9"/>
        <v>MonMedPro</v>
      </c>
      <c r="X8" s="6" t="str">
        <f t="shared" si="2"/>
        <v>TueMedPro</v>
      </c>
      <c r="Y8" s="6" t="str">
        <f t="shared" si="2"/>
        <v>WedMedPro</v>
      </c>
      <c r="Z8" s="6" t="str">
        <f t="shared" si="2"/>
        <v>ThuMedPro</v>
      </c>
      <c r="AA8" s="6" t="str">
        <f t="shared" si="2"/>
        <v>FriMedPro</v>
      </c>
      <c r="AB8" s="16" t="str">
        <f t="shared" si="10"/>
        <v>Me68</v>
      </c>
      <c r="AC8" s="19" t="str">
        <f t="shared" si="11"/>
        <v>MedPro</v>
      </c>
      <c r="AE8" s="5">
        <v>0.375</v>
      </c>
      <c r="AF8" s="34">
        <v>5</v>
      </c>
      <c r="AG8" s="6" t="str">
        <f t="shared" si="12"/>
        <v>MonPWR</v>
      </c>
      <c r="AH8" s="6" t="str">
        <f t="shared" si="3"/>
        <v>TuePWR</v>
      </c>
      <c r="AI8" s="6" t="str">
        <f t="shared" si="3"/>
        <v>WedPWR</v>
      </c>
      <c r="AJ8" s="6" t="str">
        <f t="shared" si="3"/>
        <v>ThuPWR</v>
      </c>
      <c r="AK8" s="6" t="str">
        <f t="shared" si="3"/>
        <v>FriPWR</v>
      </c>
      <c r="AL8" s="16" t="str">
        <f t="shared" si="13"/>
        <v>PW76</v>
      </c>
      <c r="AM8" s="19" t="str">
        <f t="shared" si="14"/>
        <v>PWR</v>
      </c>
    </row>
    <row r="9" spans="1:39" ht="15" x14ac:dyDescent="0.2">
      <c r="A9" s="5">
        <v>0.5625</v>
      </c>
      <c r="B9" s="34">
        <v>6</v>
      </c>
      <c r="C9" s="4" t="str">
        <f t="shared" si="15"/>
        <v>MonMAPD</v>
      </c>
      <c r="D9" s="4" t="str">
        <f t="shared" si="0"/>
        <v>TueMAPD</v>
      </c>
      <c r="E9" s="4" t="str">
        <f t="shared" si="0"/>
        <v>WedMAPD</v>
      </c>
      <c r="F9" s="4" t="str">
        <f t="shared" si="0"/>
        <v>ThuMAPD</v>
      </c>
      <c r="G9" s="4" t="str">
        <f t="shared" si="0"/>
        <v>FriMAPD</v>
      </c>
      <c r="H9" s="16" t="str">
        <f t="shared" si="4"/>
        <v>MA26</v>
      </c>
      <c r="I9" s="4" t="str">
        <f t="shared" si="5"/>
        <v>MAPD</v>
      </c>
      <c r="K9" s="5">
        <v>0.4375</v>
      </c>
      <c r="L9" s="34">
        <v>6</v>
      </c>
      <c r="M9" s="6" t="str">
        <f t="shared" si="6"/>
        <v>MonPMHS</v>
      </c>
      <c r="N9" s="6" t="str">
        <f t="shared" si="1"/>
        <v>TuePMHS</v>
      </c>
      <c r="O9" s="6" t="str">
        <f t="shared" si="1"/>
        <v>WedPMHS</v>
      </c>
      <c r="P9" s="6" t="str">
        <f t="shared" si="1"/>
        <v>ThuPMHS</v>
      </c>
      <c r="Q9" s="6" t="str">
        <f t="shared" si="1"/>
        <v>FriPMHS</v>
      </c>
      <c r="R9" s="16" t="str">
        <f t="shared" si="7"/>
        <v>PM76</v>
      </c>
      <c r="S9" s="19" t="str">
        <f t="shared" si="8"/>
        <v>PMHS</v>
      </c>
      <c r="U9" s="5">
        <v>0.4375</v>
      </c>
      <c r="V9" s="34">
        <v>6</v>
      </c>
      <c r="W9" s="6" t="str">
        <f t="shared" si="9"/>
        <v>MonMedPro</v>
      </c>
      <c r="X9" s="6" t="str">
        <f t="shared" si="2"/>
        <v>TueMedPro</v>
      </c>
      <c r="Y9" s="6" t="str">
        <f t="shared" si="2"/>
        <v>WedMedPro</v>
      </c>
      <c r="Z9" s="6" t="str">
        <f t="shared" si="2"/>
        <v>ThuMedPro</v>
      </c>
      <c r="AA9" s="6" t="str">
        <f t="shared" si="2"/>
        <v>FriMedPro</v>
      </c>
      <c r="AB9" s="16" t="str">
        <f t="shared" si="10"/>
        <v>Me76</v>
      </c>
      <c r="AC9" s="19" t="str">
        <f t="shared" si="11"/>
        <v>MedPro</v>
      </c>
      <c r="AE9" s="5">
        <v>0.39583333333333398</v>
      </c>
      <c r="AF9" s="34">
        <v>6</v>
      </c>
      <c r="AG9" s="6" t="str">
        <f t="shared" si="12"/>
        <v>MonPWR</v>
      </c>
      <c r="AH9" s="6" t="str">
        <f t="shared" si="3"/>
        <v>TuePWR</v>
      </c>
      <c r="AI9" s="6" t="str">
        <f t="shared" si="3"/>
        <v>WedPWR</v>
      </c>
      <c r="AJ9" s="6" t="str">
        <f t="shared" si="3"/>
        <v>ThuPWR</v>
      </c>
      <c r="AK9" s="6" t="str">
        <f t="shared" si="3"/>
        <v>FriPWR</v>
      </c>
      <c r="AL9" s="16" t="str">
        <f t="shared" si="13"/>
        <v>PW35</v>
      </c>
      <c r="AM9" s="19" t="str">
        <f t="shared" si="14"/>
        <v>PWR</v>
      </c>
    </row>
    <row r="10" spans="1:39" ht="15" x14ac:dyDescent="0.2">
      <c r="A10" s="5">
        <v>0.58333333333333304</v>
      </c>
      <c r="B10" s="34">
        <v>7</v>
      </c>
      <c r="C10" s="4" t="str">
        <f t="shared" si="15"/>
        <v>MonMAPD</v>
      </c>
      <c r="D10" s="4" t="str">
        <f t="shared" si="0"/>
        <v>TueMAPD</v>
      </c>
      <c r="E10" s="4" t="str">
        <f t="shared" si="0"/>
        <v>WedMAPD</v>
      </c>
      <c r="F10" s="4" t="str">
        <f t="shared" si="0"/>
        <v>ThuMAPD</v>
      </c>
      <c r="G10" s="4" t="str">
        <f t="shared" si="0"/>
        <v>FriMAPD</v>
      </c>
      <c r="H10" s="16" t="str">
        <f t="shared" si="4"/>
        <v>MA34</v>
      </c>
      <c r="I10" s="4" t="str">
        <f t="shared" si="5"/>
        <v>MAPD</v>
      </c>
      <c r="K10" s="5">
        <v>0.45833333333333298</v>
      </c>
      <c r="L10" s="34">
        <v>7</v>
      </c>
      <c r="M10" s="6" t="str">
        <f t="shared" si="6"/>
        <v>MonPMHS</v>
      </c>
      <c r="N10" s="6" t="str">
        <f t="shared" si="1"/>
        <v>TuePMHS</v>
      </c>
      <c r="O10" s="6" t="str">
        <f t="shared" si="1"/>
        <v>WedPMHS</v>
      </c>
      <c r="P10" s="6" t="str">
        <f t="shared" si="1"/>
        <v>ThuPMHS</v>
      </c>
      <c r="Q10" s="6" t="str">
        <f t="shared" si="1"/>
        <v>FriPMHS</v>
      </c>
      <c r="R10" s="16" t="str">
        <f t="shared" si="7"/>
        <v>PM34</v>
      </c>
      <c r="S10" s="19" t="str">
        <f t="shared" si="8"/>
        <v>PMHS</v>
      </c>
      <c r="U10" s="5">
        <v>0.45833333333333298</v>
      </c>
      <c r="V10" s="34">
        <v>7</v>
      </c>
      <c r="W10" s="6" t="str">
        <f t="shared" si="9"/>
        <v>MonMedPro</v>
      </c>
      <c r="X10" s="6" t="str">
        <f t="shared" si="2"/>
        <v>TueMedPro</v>
      </c>
      <c r="Y10" s="6" t="str">
        <f t="shared" si="2"/>
        <v>WedMedPro</v>
      </c>
      <c r="Z10" s="6" t="str">
        <f t="shared" si="2"/>
        <v>ThuMedPro</v>
      </c>
      <c r="AA10" s="6" t="str">
        <f t="shared" si="2"/>
        <v>FriMedPro</v>
      </c>
      <c r="AB10" s="16" t="str">
        <f t="shared" si="10"/>
        <v>Me34</v>
      </c>
      <c r="AC10" s="19" t="str">
        <f t="shared" si="11"/>
        <v>MedPro</v>
      </c>
      <c r="AE10" s="5">
        <v>0.41666666666666702</v>
      </c>
      <c r="AF10" s="34">
        <v>7</v>
      </c>
      <c r="AG10" s="6" t="str">
        <f t="shared" si="12"/>
        <v>MonPWR</v>
      </c>
      <c r="AH10" s="6" t="str">
        <f t="shared" si="3"/>
        <v>TuePWR</v>
      </c>
      <c r="AI10" s="6" t="str">
        <f t="shared" si="3"/>
        <v>WedPWR</v>
      </c>
      <c r="AJ10" s="6" t="str">
        <f t="shared" si="3"/>
        <v>ThuPWR</v>
      </c>
      <c r="AK10" s="6" t="str">
        <f t="shared" si="3"/>
        <v>FriPWR</v>
      </c>
      <c r="AL10" s="16" t="str">
        <f t="shared" si="13"/>
        <v>PW68</v>
      </c>
      <c r="AM10" s="19" t="str">
        <f t="shared" si="14"/>
        <v>PWR</v>
      </c>
    </row>
    <row r="11" spans="1:39" ht="15" x14ac:dyDescent="0.2">
      <c r="A11" s="5">
        <v>0.60416666666666696</v>
      </c>
      <c r="B11" s="34">
        <v>8</v>
      </c>
      <c r="C11" s="4" t="str">
        <f t="shared" si="15"/>
        <v>MonMAPD</v>
      </c>
      <c r="D11" s="4" t="str">
        <f t="shared" si="0"/>
        <v>TueMAPD</v>
      </c>
      <c r="E11" s="4" t="str">
        <f t="shared" si="0"/>
        <v>WedMAPD</v>
      </c>
      <c r="F11" s="4" t="str">
        <f t="shared" si="0"/>
        <v>ThuMAPD</v>
      </c>
      <c r="G11" s="4" t="str">
        <f t="shared" si="0"/>
        <v>FriMAPD</v>
      </c>
      <c r="H11" s="16" t="str">
        <f t="shared" si="4"/>
        <v>MA68</v>
      </c>
      <c r="I11" s="4" t="str">
        <f t="shared" si="5"/>
        <v>MAPD</v>
      </c>
      <c r="K11" s="5">
        <v>0.47916666666666702</v>
      </c>
      <c r="L11" s="34">
        <v>8</v>
      </c>
      <c r="M11" s="6" t="str">
        <f t="shared" si="6"/>
        <v>MonPMHS</v>
      </c>
      <c r="N11" s="6" t="str">
        <f t="shared" si="1"/>
        <v>TuePMHS</v>
      </c>
      <c r="O11" s="6" t="str">
        <f t="shared" si="1"/>
        <v>WedPMHS</v>
      </c>
      <c r="P11" s="6" t="str">
        <f t="shared" si="1"/>
        <v>ThuPMHS</v>
      </c>
      <c r="Q11" s="6" t="str">
        <f t="shared" si="1"/>
        <v>FriPMHS</v>
      </c>
      <c r="R11" s="16" t="str">
        <f t="shared" si="7"/>
        <v>PM68</v>
      </c>
      <c r="S11" s="19" t="str">
        <f t="shared" si="8"/>
        <v>PMHS</v>
      </c>
      <c r="U11" s="5">
        <v>0.47916666666666702</v>
      </c>
      <c r="V11" s="34">
        <v>8</v>
      </c>
      <c r="W11" s="6" t="str">
        <f t="shared" si="9"/>
        <v>MonMedPro</v>
      </c>
      <c r="X11" s="6" t="str">
        <f t="shared" si="2"/>
        <v>TueMedPro</v>
      </c>
      <c r="Y11" s="6" t="str">
        <f t="shared" si="2"/>
        <v>WedMedPro</v>
      </c>
      <c r="Z11" s="6" t="str">
        <f t="shared" si="2"/>
        <v>ThuMedPro</v>
      </c>
      <c r="AA11" s="6" t="str">
        <f t="shared" si="2"/>
        <v>FriMedPro</v>
      </c>
      <c r="AB11" s="16" t="str">
        <f t="shared" si="10"/>
        <v>Me68</v>
      </c>
      <c r="AC11" s="19" t="str">
        <f t="shared" si="11"/>
        <v>MedPro</v>
      </c>
      <c r="AE11" s="5">
        <v>0.4375</v>
      </c>
      <c r="AF11" s="34">
        <v>8</v>
      </c>
      <c r="AG11" s="6" t="str">
        <f t="shared" si="12"/>
        <v>MonPWR</v>
      </c>
      <c r="AH11" s="6" t="str">
        <f t="shared" si="3"/>
        <v>TuePWR</v>
      </c>
      <c r="AI11" s="6" t="str">
        <f t="shared" si="3"/>
        <v>WedPWR</v>
      </c>
      <c r="AJ11" s="6" t="str">
        <f t="shared" si="3"/>
        <v>ThuPWR</v>
      </c>
      <c r="AK11" s="6" t="str">
        <f t="shared" si="3"/>
        <v>FriPWR</v>
      </c>
      <c r="AL11" s="16" t="str">
        <f t="shared" si="13"/>
        <v>PW76</v>
      </c>
      <c r="AM11" s="19" t="str">
        <f t="shared" si="14"/>
        <v>PWR</v>
      </c>
    </row>
    <row r="12" spans="1:39" ht="15" x14ac:dyDescent="0.2">
      <c r="A12" s="5">
        <v>0.625</v>
      </c>
      <c r="B12" s="34">
        <v>9</v>
      </c>
      <c r="C12" s="4" t="str">
        <f t="shared" si="15"/>
        <v>MonMAPD</v>
      </c>
      <c r="D12" s="4" t="str">
        <f t="shared" si="0"/>
        <v>TueMAPD</v>
      </c>
      <c r="E12" s="4" t="str">
        <f t="shared" si="0"/>
        <v>WedMAPD</v>
      </c>
      <c r="F12" s="4" t="str">
        <f t="shared" si="0"/>
        <v>ThuMAPD</v>
      </c>
      <c r="G12" s="4" t="str">
        <f t="shared" si="0"/>
        <v>FriMAPD</v>
      </c>
      <c r="H12" s="16" t="str">
        <f t="shared" si="4"/>
        <v>MA26</v>
      </c>
      <c r="I12" s="4" t="str">
        <f t="shared" si="5"/>
        <v>MAPD</v>
      </c>
      <c r="K12" s="5">
        <v>0.5</v>
      </c>
      <c r="L12" s="34">
        <v>9</v>
      </c>
      <c r="M12" s="6" t="str">
        <f t="shared" si="6"/>
        <v>MonPMHS</v>
      </c>
      <c r="N12" s="6" t="str">
        <f t="shared" si="1"/>
        <v>TuePMHS</v>
      </c>
      <c r="O12" s="6" t="str">
        <f t="shared" si="1"/>
        <v>WedPMHS</v>
      </c>
      <c r="P12" s="6" t="str">
        <f t="shared" si="1"/>
        <v>ThuPMHS</v>
      </c>
      <c r="Q12" s="6" t="str">
        <f t="shared" si="1"/>
        <v>FriPMHS</v>
      </c>
      <c r="R12" s="16" t="str">
        <f t="shared" si="7"/>
        <v>PM1.5</v>
      </c>
      <c r="S12" s="19" t="str">
        <f t="shared" si="8"/>
        <v>PMHS</v>
      </c>
      <c r="U12" s="5">
        <v>0.5</v>
      </c>
      <c r="V12" s="34">
        <v>9</v>
      </c>
      <c r="W12" s="6" t="str">
        <f t="shared" si="9"/>
        <v>MonMedPro</v>
      </c>
      <c r="X12" s="6" t="str">
        <f t="shared" si="2"/>
        <v>TueMedPro</v>
      </c>
      <c r="Y12" s="6" t="str">
        <f t="shared" si="2"/>
        <v>WedMedPro</v>
      </c>
      <c r="Z12" s="6" t="str">
        <f t="shared" si="2"/>
        <v>ThuMedPro</v>
      </c>
      <c r="AA12" s="6" t="str">
        <f t="shared" si="2"/>
        <v>FriMedPro</v>
      </c>
      <c r="AB12" s="16" t="str">
        <f t="shared" si="10"/>
        <v>Me1.5</v>
      </c>
      <c r="AC12" s="19" t="str">
        <f t="shared" si="11"/>
        <v>MedPro</v>
      </c>
      <c r="AE12" s="5">
        <v>0.45833333333333398</v>
      </c>
      <c r="AF12" s="34">
        <v>9</v>
      </c>
      <c r="AG12" s="6" t="str">
        <f t="shared" si="12"/>
        <v>MonPWR</v>
      </c>
      <c r="AH12" s="6" t="str">
        <f t="shared" si="3"/>
        <v>TuePWR</v>
      </c>
      <c r="AI12" s="6" t="str">
        <f t="shared" si="3"/>
        <v>WedPWR</v>
      </c>
      <c r="AJ12" s="6" t="str">
        <f t="shared" si="3"/>
        <v>ThuPWR</v>
      </c>
      <c r="AK12" s="6" t="str">
        <f t="shared" si="3"/>
        <v>FriPWR</v>
      </c>
      <c r="AL12" s="16" t="str">
        <f t="shared" si="13"/>
        <v>PW35</v>
      </c>
      <c r="AM12" s="19" t="str">
        <f t="shared" si="14"/>
        <v>PWR</v>
      </c>
    </row>
    <row r="13" spans="1:39" ht="15" x14ac:dyDescent="0.2">
      <c r="A13" s="5">
        <v>0.64583333333333304</v>
      </c>
      <c r="B13" s="34">
        <v>10</v>
      </c>
      <c r="C13" s="4" t="str">
        <f t="shared" si="15"/>
        <v>MonMAPD</v>
      </c>
      <c r="D13" s="4" t="str">
        <f t="shared" si="0"/>
        <v>TueMAPD</v>
      </c>
      <c r="E13" s="4" t="str">
        <f t="shared" si="0"/>
        <v>WedMAPD</v>
      </c>
      <c r="F13" s="4" t="str">
        <f t="shared" si="0"/>
        <v>ThuMAPD</v>
      </c>
      <c r="G13" s="4" t="str">
        <f t="shared" si="0"/>
        <v>FriMAPD</v>
      </c>
      <c r="H13" s="16" t="str">
        <f t="shared" si="4"/>
        <v>MA34</v>
      </c>
      <c r="I13" s="4" t="str">
        <f t="shared" si="5"/>
        <v>MAPD</v>
      </c>
      <c r="K13" s="5">
        <v>0.52083333333333304</v>
      </c>
      <c r="L13" s="34">
        <v>10</v>
      </c>
      <c r="M13" s="6" t="str">
        <f t="shared" si="6"/>
        <v>MonPMHS</v>
      </c>
      <c r="N13" s="6" t="str">
        <f t="shared" si="1"/>
        <v>TuePMHS</v>
      </c>
      <c r="O13" s="6" t="str">
        <f t="shared" si="1"/>
        <v>WedPMHS</v>
      </c>
      <c r="P13" s="6" t="str">
        <f t="shared" si="1"/>
        <v>ThuPMHS</v>
      </c>
      <c r="Q13" s="6" t="str">
        <f t="shared" si="1"/>
        <v>FriPMHS</v>
      </c>
      <c r="R13" s="16" t="str">
        <f t="shared" si="7"/>
        <v>PM34</v>
      </c>
      <c r="S13" s="19" t="str">
        <f t="shared" si="8"/>
        <v>PMHS</v>
      </c>
      <c r="U13" s="5">
        <v>0.52083333333333304</v>
      </c>
      <c r="V13" s="34">
        <v>10</v>
      </c>
      <c r="W13" s="6" t="str">
        <f t="shared" si="9"/>
        <v>MonMedPro</v>
      </c>
      <c r="X13" s="6" t="str">
        <f t="shared" si="2"/>
        <v>TueMedPro</v>
      </c>
      <c r="Y13" s="6" t="str">
        <f t="shared" si="2"/>
        <v>WedMedPro</v>
      </c>
      <c r="Z13" s="6" t="str">
        <f t="shared" si="2"/>
        <v>ThuMedPro</v>
      </c>
      <c r="AA13" s="6" t="str">
        <f t="shared" si="2"/>
        <v>FriMedPro</v>
      </c>
      <c r="AB13" s="16" t="str">
        <f t="shared" si="10"/>
        <v>Me34</v>
      </c>
      <c r="AC13" s="19" t="str">
        <f t="shared" si="11"/>
        <v>MedPro</v>
      </c>
      <c r="AE13" s="5">
        <v>0.47916666666666702</v>
      </c>
      <c r="AF13" s="34">
        <v>10</v>
      </c>
      <c r="AG13" s="6" t="str">
        <f t="shared" si="12"/>
        <v>MonPWR</v>
      </c>
      <c r="AH13" s="6" t="str">
        <f t="shared" si="3"/>
        <v>TuePWR</v>
      </c>
      <c r="AI13" s="6" t="str">
        <f t="shared" si="3"/>
        <v>WedPWR</v>
      </c>
      <c r="AJ13" s="6" t="str">
        <f t="shared" si="3"/>
        <v>ThuPWR</v>
      </c>
      <c r="AK13" s="6" t="str">
        <f t="shared" si="3"/>
        <v>FriPWR</v>
      </c>
      <c r="AL13" s="16" t="str">
        <f t="shared" si="13"/>
        <v>PW68</v>
      </c>
      <c r="AM13" s="19" t="str">
        <f t="shared" si="14"/>
        <v>PWR</v>
      </c>
    </row>
    <row r="14" spans="1:39" ht="15" x14ac:dyDescent="0.2">
      <c r="A14" s="5">
        <v>0.66666666666666696</v>
      </c>
      <c r="B14" s="34">
        <v>11</v>
      </c>
      <c r="C14" s="4" t="str">
        <f t="shared" si="15"/>
        <v>MonMAPD</v>
      </c>
      <c r="D14" s="4" t="str">
        <f t="shared" si="0"/>
        <v>TueMAPD</v>
      </c>
      <c r="E14" s="4" t="str">
        <f t="shared" si="0"/>
        <v>WedMAPD</v>
      </c>
      <c r="F14" s="4" t="str">
        <f t="shared" si="0"/>
        <v>ThuMAPD</v>
      </c>
      <c r="G14" s="4" t="str">
        <f t="shared" si="0"/>
        <v>FriMAPD</v>
      </c>
      <c r="H14" s="16" t="str">
        <f t="shared" si="4"/>
        <v>MA68</v>
      </c>
      <c r="I14" s="4" t="str">
        <f t="shared" si="5"/>
        <v>MAPD</v>
      </c>
      <c r="K14" s="5">
        <v>0.54166666666666696</v>
      </c>
      <c r="L14" s="34">
        <v>11</v>
      </c>
      <c r="M14" s="6" t="str">
        <f t="shared" si="6"/>
        <v>MonPMHS</v>
      </c>
      <c r="N14" s="6" t="str">
        <f t="shared" si="1"/>
        <v>TuePMHS</v>
      </c>
      <c r="O14" s="6" t="str">
        <f t="shared" si="1"/>
        <v>WedPMHS</v>
      </c>
      <c r="P14" s="6" t="str">
        <f t="shared" si="1"/>
        <v>ThuPMHS</v>
      </c>
      <c r="Q14" s="6" t="str">
        <f t="shared" si="1"/>
        <v>FriPMHS</v>
      </c>
      <c r="R14" s="16" t="str">
        <f t="shared" si="7"/>
        <v>PM68</v>
      </c>
      <c r="S14" s="19" t="str">
        <f t="shared" si="8"/>
        <v>PMHS</v>
      </c>
      <c r="U14" s="5">
        <v>0.54166666666666696</v>
      </c>
      <c r="V14" s="34">
        <v>11</v>
      </c>
      <c r="W14" s="6" t="str">
        <f t="shared" si="9"/>
        <v>MonMedPro</v>
      </c>
      <c r="X14" s="6" t="str">
        <f t="shared" si="2"/>
        <v>TueMedPro</v>
      </c>
      <c r="Y14" s="6" t="str">
        <f t="shared" si="2"/>
        <v>WedMedPro</v>
      </c>
      <c r="Z14" s="6" t="str">
        <f t="shared" si="2"/>
        <v>ThuMedPro</v>
      </c>
      <c r="AA14" s="6" t="str">
        <f t="shared" si="2"/>
        <v>FriMedPro</v>
      </c>
      <c r="AB14" s="16" t="str">
        <f t="shared" si="10"/>
        <v>Me68</v>
      </c>
      <c r="AC14" s="19" t="str">
        <f t="shared" si="11"/>
        <v>MedPro</v>
      </c>
      <c r="AE14" s="5">
        <v>0.5</v>
      </c>
      <c r="AF14" s="34">
        <v>11</v>
      </c>
      <c r="AG14" s="6" t="str">
        <f t="shared" si="12"/>
        <v>MonPWR</v>
      </c>
      <c r="AH14" s="6" t="str">
        <f t="shared" si="3"/>
        <v>TuePWR</v>
      </c>
      <c r="AI14" s="6" t="str">
        <f t="shared" si="3"/>
        <v>WedPWR</v>
      </c>
      <c r="AJ14" s="6" t="str">
        <f t="shared" si="3"/>
        <v>ThuPWR</v>
      </c>
      <c r="AK14" s="6" t="str">
        <f t="shared" si="3"/>
        <v>FriPWR</v>
      </c>
      <c r="AL14" s="16" t="str">
        <f t="shared" si="13"/>
        <v>PW1.5</v>
      </c>
      <c r="AM14" s="19" t="str">
        <f t="shared" si="14"/>
        <v>PWR</v>
      </c>
    </row>
    <row r="15" spans="1:39" ht="15" x14ac:dyDescent="0.2">
      <c r="A15" s="5">
        <v>0.6875</v>
      </c>
      <c r="B15" s="34">
        <v>12</v>
      </c>
      <c r="C15" s="4" t="str">
        <f t="shared" si="15"/>
        <v>MonMAPD</v>
      </c>
      <c r="D15" s="4" t="str">
        <f t="shared" si="0"/>
        <v>TueMAPD</v>
      </c>
      <c r="E15" s="4" t="str">
        <f t="shared" si="0"/>
        <v>WedMAPD</v>
      </c>
      <c r="F15" s="4" t="str">
        <f t="shared" si="0"/>
        <v>ThuMAPD</v>
      </c>
      <c r="G15" s="4" t="str">
        <f t="shared" si="0"/>
        <v>FriMAPD</v>
      </c>
      <c r="H15" s="16" t="str">
        <f t="shared" si="4"/>
        <v>MA76</v>
      </c>
      <c r="I15" s="4" t="str">
        <f t="shared" si="5"/>
        <v>MAPD</v>
      </c>
      <c r="K15" s="5">
        <v>0.5625</v>
      </c>
      <c r="L15" s="34">
        <v>12</v>
      </c>
      <c r="M15" s="6" t="str">
        <f t="shared" si="6"/>
        <v>MonPMHS</v>
      </c>
      <c r="N15" s="6" t="str">
        <f t="shared" si="1"/>
        <v>TuePMHS</v>
      </c>
      <c r="O15" s="6" t="str">
        <f t="shared" si="1"/>
        <v>WedPMHS</v>
      </c>
      <c r="P15" s="6" t="str">
        <f t="shared" si="1"/>
        <v>ThuPMHS</v>
      </c>
      <c r="Q15" s="6" t="str">
        <f t="shared" si="1"/>
        <v>FriPMHS</v>
      </c>
      <c r="R15" s="16" t="str">
        <f t="shared" si="7"/>
        <v>PM26</v>
      </c>
      <c r="S15" s="19" t="str">
        <f t="shared" si="8"/>
        <v>PMHS</v>
      </c>
      <c r="U15" s="5">
        <v>0.5625</v>
      </c>
      <c r="V15" s="34">
        <v>12</v>
      </c>
      <c r="W15" s="6" t="str">
        <f t="shared" si="9"/>
        <v>MonMedPro</v>
      </c>
      <c r="X15" s="6" t="str">
        <f t="shared" si="2"/>
        <v>TueMedPro</v>
      </c>
      <c r="Y15" s="6" t="str">
        <f t="shared" si="2"/>
        <v>WedMedPro</v>
      </c>
      <c r="Z15" s="6" t="str">
        <f t="shared" si="2"/>
        <v>ThuMedPro</v>
      </c>
      <c r="AA15" s="6" t="str">
        <f t="shared" si="2"/>
        <v>FriMedPro</v>
      </c>
      <c r="AB15" s="16" t="str">
        <f t="shared" si="10"/>
        <v>Me26</v>
      </c>
      <c r="AC15" s="19" t="str">
        <f t="shared" si="11"/>
        <v>MedPro</v>
      </c>
      <c r="AE15" s="5">
        <v>0.52083333333333304</v>
      </c>
      <c r="AF15" s="34">
        <v>12</v>
      </c>
      <c r="AG15" s="6" t="str">
        <f t="shared" si="12"/>
        <v>MonPWR</v>
      </c>
      <c r="AH15" s="6" t="str">
        <f t="shared" si="3"/>
        <v>TuePWR</v>
      </c>
      <c r="AI15" s="6" t="str">
        <f t="shared" si="3"/>
        <v>WedPWR</v>
      </c>
      <c r="AJ15" s="6" t="str">
        <f t="shared" si="3"/>
        <v>ThuPWR</v>
      </c>
      <c r="AK15" s="6" t="str">
        <f t="shared" si="3"/>
        <v>FriPWR</v>
      </c>
      <c r="AL15" s="16" t="str">
        <f t="shared" si="13"/>
        <v>PW34</v>
      </c>
      <c r="AM15" s="19" t="str">
        <f t="shared" si="14"/>
        <v>PWR</v>
      </c>
    </row>
    <row r="16" spans="1:39" ht="15" x14ac:dyDescent="0.2">
      <c r="A16" s="5">
        <v>0.70833333333333304</v>
      </c>
      <c r="B16" s="34">
        <v>13</v>
      </c>
      <c r="C16" s="4" t="str">
        <f t="shared" si="15"/>
        <v>MonMAPD</v>
      </c>
      <c r="D16" s="4" t="str">
        <f t="shared" si="0"/>
        <v>TueMAPD</v>
      </c>
      <c r="E16" s="4" t="str">
        <f t="shared" si="0"/>
        <v>WedMAPD</v>
      </c>
      <c r="F16" s="4" t="str">
        <f t="shared" si="0"/>
        <v>ThuMAPD</v>
      </c>
      <c r="G16" s="4" t="str">
        <f t="shared" si="0"/>
        <v>FriMAPD</v>
      </c>
      <c r="H16" s="16" t="str">
        <f t="shared" si="4"/>
        <v>MA34</v>
      </c>
      <c r="I16" s="4" t="str">
        <f t="shared" si="5"/>
        <v>MAPD</v>
      </c>
      <c r="K16" s="5">
        <v>0.58333333333333304</v>
      </c>
      <c r="L16" s="34">
        <v>13</v>
      </c>
      <c r="M16" s="6" t="str">
        <f t="shared" si="6"/>
        <v>MonPMHS</v>
      </c>
      <c r="N16" s="6" t="str">
        <f t="shared" si="1"/>
        <v>TuePMHS</v>
      </c>
      <c r="O16" s="6" t="str">
        <f t="shared" si="1"/>
        <v>WedPMHS</v>
      </c>
      <c r="P16" s="6" t="str">
        <f t="shared" si="1"/>
        <v>ThuPMHS</v>
      </c>
      <c r="Q16" s="6" t="str">
        <f t="shared" si="1"/>
        <v>FriPMHS</v>
      </c>
      <c r="R16" s="16" t="str">
        <f t="shared" si="7"/>
        <v>PM34</v>
      </c>
      <c r="S16" s="19" t="str">
        <f t="shared" si="8"/>
        <v>PMHS</v>
      </c>
      <c r="U16" s="5">
        <v>0.58333333333333304</v>
      </c>
      <c r="V16" s="34">
        <v>13</v>
      </c>
      <c r="W16" s="6" t="str">
        <f t="shared" si="9"/>
        <v>MonMedPro</v>
      </c>
      <c r="X16" s="6" t="str">
        <f t="shared" si="2"/>
        <v>TueMedPro</v>
      </c>
      <c r="Y16" s="6" t="str">
        <f t="shared" si="2"/>
        <v>WedMedPro</v>
      </c>
      <c r="Z16" s="6" t="str">
        <f t="shared" si="2"/>
        <v>ThuMedPro</v>
      </c>
      <c r="AA16" s="6" t="str">
        <f t="shared" si="2"/>
        <v>FriMedPro</v>
      </c>
      <c r="AB16" s="16" t="str">
        <f t="shared" si="10"/>
        <v>Me34</v>
      </c>
      <c r="AC16" s="19" t="str">
        <f t="shared" si="11"/>
        <v>MedPro</v>
      </c>
      <c r="AE16" s="5">
        <v>0.54166666666666696</v>
      </c>
      <c r="AF16" s="34">
        <v>13</v>
      </c>
      <c r="AG16" s="6" t="str">
        <f t="shared" si="12"/>
        <v>MonPWR</v>
      </c>
      <c r="AH16" s="6" t="str">
        <f t="shared" si="3"/>
        <v>TuePWR</v>
      </c>
      <c r="AI16" s="6" t="str">
        <f t="shared" si="3"/>
        <v>WedPWR</v>
      </c>
      <c r="AJ16" s="6" t="str">
        <f t="shared" si="3"/>
        <v>ThuPWR</v>
      </c>
      <c r="AK16" s="6" t="str">
        <f t="shared" si="3"/>
        <v>FriPWR</v>
      </c>
      <c r="AL16" s="16" t="str">
        <f t="shared" si="13"/>
        <v>PW68</v>
      </c>
      <c r="AM16" s="19" t="str">
        <f t="shared" si="14"/>
        <v>PWR</v>
      </c>
    </row>
    <row r="17" spans="1:39" ht="15" x14ac:dyDescent="0.2">
      <c r="A17" s="5">
        <v>0.72916666666666696</v>
      </c>
      <c r="B17" s="34">
        <v>14</v>
      </c>
      <c r="C17" s="4" t="str">
        <f t="shared" si="15"/>
        <v>MonMAPD</v>
      </c>
      <c r="D17" s="4" t="str">
        <f t="shared" si="0"/>
        <v>TueMAPD</v>
      </c>
      <c r="E17" s="4" t="str">
        <f t="shared" si="0"/>
        <v>WedMAPD</v>
      </c>
      <c r="F17" s="4" t="str">
        <f t="shared" si="0"/>
        <v>ThuMAPD</v>
      </c>
      <c r="G17" s="4" t="str">
        <f t="shared" si="0"/>
        <v>FriMAPD</v>
      </c>
      <c r="H17" s="16" t="str">
        <f t="shared" si="4"/>
        <v>MA68</v>
      </c>
      <c r="I17" s="4" t="str">
        <f t="shared" si="5"/>
        <v>MAPD</v>
      </c>
      <c r="K17" s="5">
        <v>0.60416666666666696</v>
      </c>
      <c r="L17" s="34">
        <v>14</v>
      </c>
      <c r="M17" s="6" t="str">
        <f t="shared" si="6"/>
        <v>MonPMHS</v>
      </c>
      <c r="N17" s="6" t="str">
        <f t="shared" si="1"/>
        <v>TuePMHS</v>
      </c>
      <c r="O17" s="6" t="str">
        <f t="shared" si="1"/>
        <v>WedPMHS</v>
      </c>
      <c r="P17" s="6" t="str">
        <f t="shared" si="1"/>
        <v>ThuPMHS</v>
      </c>
      <c r="Q17" s="6" t="str">
        <f t="shared" si="1"/>
        <v>FriPMHS</v>
      </c>
      <c r="R17" s="16" t="str">
        <f t="shared" si="7"/>
        <v>PM68</v>
      </c>
      <c r="S17" s="19" t="str">
        <f t="shared" si="8"/>
        <v>PMHS</v>
      </c>
      <c r="U17" s="5">
        <v>0.60416666666666696</v>
      </c>
      <c r="V17" s="34">
        <v>14</v>
      </c>
      <c r="W17" s="6" t="str">
        <f t="shared" si="9"/>
        <v>MonMedPro</v>
      </c>
      <c r="X17" s="6" t="str">
        <f t="shared" si="2"/>
        <v>TueMedPro</v>
      </c>
      <c r="Y17" s="6" t="str">
        <f t="shared" si="2"/>
        <v>WedMedPro</v>
      </c>
      <c r="Z17" s="6" t="str">
        <f t="shared" si="2"/>
        <v>ThuMedPro</v>
      </c>
      <c r="AA17" s="6" t="str">
        <f t="shared" si="2"/>
        <v>FriMedPro</v>
      </c>
      <c r="AB17" s="16" t="str">
        <f t="shared" si="10"/>
        <v>Me68</v>
      </c>
      <c r="AC17" s="19" t="str">
        <f t="shared" si="11"/>
        <v>MedPro</v>
      </c>
      <c r="AE17" s="5">
        <v>0.5625</v>
      </c>
      <c r="AF17" s="34">
        <v>14</v>
      </c>
      <c r="AG17" s="6" t="str">
        <f t="shared" si="12"/>
        <v>MonPWR</v>
      </c>
      <c r="AH17" s="6" t="str">
        <f t="shared" si="3"/>
        <v>TuePWR</v>
      </c>
      <c r="AI17" s="6" t="str">
        <f t="shared" si="3"/>
        <v>WedPWR</v>
      </c>
      <c r="AJ17" s="6" t="str">
        <f t="shared" si="3"/>
        <v>ThuPWR</v>
      </c>
      <c r="AK17" s="6" t="str">
        <f t="shared" si="3"/>
        <v>FriPWR</v>
      </c>
      <c r="AL17" s="16" t="str">
        <f t="shared" si="13"/>
        <v>PW26</v>
      </c>
      <c r="AM17" s="19" t="str">
        <f t="shared" si="14"/>
        <v>PWR</v>
      </c>
    </row>
    <row r="18" spans="1:39" ht="15" x14ac:dyDescent="0.2">
      <c r="A18" s="5">
        <v>0.75</v>
      </c>
      <c r="B18" s="34">
        <v>15</v>
      </c>
      <c r="C18" s="4" t="str">
        <f t="shared" si="15"/>
        <v>MonMAPD</v>
      </c>
      <c r="D18" s="4" t="str">
        <f t="shared" si="0"/>
        <v>TueMAPD</v>
      </c>
      <c r="E18" s="4" t="str">
        <f t="shared" si="0"/>
        <v>WedMAPD</v>
      </c>
      <c r="F18" s="4" t="str">
        <f t="shared" si="0"/>
        <v>ThuMAPD</v>
      </c>
      <c r="G18" s="4" t="str">
        <f t="shared" si="0"/>
        <v>FriMAPD</v>
      </c>
      <c r="H18" s="16" t="str">
        <f t="shared" si="4"/>
        <v>MA76</v>
      </c>
      <c r="I18" s="4" t="str">
        <f t="shared" si="5"/>
        <v>MAPD</v>
      </c>
      <c r="K18" s="5">
        <v>0.625</v>
      </c>
      <c r="L18" s="34">
        <v>15</v>
      </c>
      <c r="M18" s="6" t="str">
        <f t="shared" si="6"/>
        <v>MonPMHS</v>
      </c>
      <c r="N18" s="6" t="str">
        <f t="shared" si="1"/>
        <v>TuePMHS</v>
      </c>
      <c r="O18" s="6" t="str">
        <f t="shared" si="1"/>
        <v>WedPMHS</v>
      </c>
      <c r="P18" s="6" t="str">
        <f t="shared" si="1"/>
        <v>ThuPMHS</v>
      </c>
      <c r="Q18" s="6" t="str">
        <f t="shared" si="1"/>
        <v>FriPMHS</v>
      </c>
      <c r="R18" s="16" t="str">
        <f t="shared" si="7"/>
        <v>PM26</v>
      </c>
      <c r="S18" s="19" t="str">
        <f t="shared" si="8"/>
        <v>PMHS</v>
      </c>
      <c r="U18" s="5">
        <v>0.625</v>
      </c>
      <c r="V18" s="34">
        <v>15</v>
      </c>
      <c r="W18" s="6" t="str">
        <f t="shared" si="9"/>
        <v>MonMedPro</v>
      </c>
      <c r="X18" s="6" t="str">
        <f t="shared" si="2"/>
        <v>TueMedPro</v>
      </c>
      <c r="Y18" s="6" t="str">
        <f t="shared" si="2"/>
        <v>WedMedPro</v>
      </c>
      <c r="Z18" s="6" t="str">
        <f t="shared" si="2"/>
        <v>ThuMedPro</v>
      </c>
      <c r="AA18" s="6" t="str">
        <f t="shared" si="2"/>
        <v>FriMedPro</v>
      </c>
      <c r="AB18" s="16" t="str">
        <f t="shared" si="10"/>
        <v>Me26</v>
      </c>
      <c r="AC18" s="19" t="str">
        <f t="shared" si="11"/>
        <v>MedPro</v>
      </c>
      <c r="AE18" s="5">
        <v>0.58333333333333304</v>
      </c>
      <c r="AF18" s="34">
        <v>15</v>
      </c>
      <c r="AG18" s="6" t="str">
        <f t="shared" si="12"/>
        <v>MonPWR</v>
      </c>
      <c r="AH18" s="6" t="str">
        <f t="shared" si="3"/>
        <v>TuePWR</v>
      </c>
      <c r="AI18" s="6" t="str">
        <f t="shared" si="3"/>
        <v>WedPWR</v>
      </c>
      <c r="AJ18" s="6" t="str">
        <f t="shared" si="3"/>
        <v>ThuPWR</v>
      </c>
      <c r="AK18" s="6" t="str">
        <f t="shared" si="3"/>
        <v>FriPWR</v>
      </c>
      <c r="AL18" s="16" t="str">
        <f t="shared" si="13"/>
        <v>PW34</v>
      </c>
      <c r="AM18" s="19" t="str">
        <f t="shared" si="14"/>
        <v>PWR</v>
      </c>
    </row>
    <row r="19" spans="1:39" ht="15" x14ac:dyDescent="0.2">
      <c r="A19" s="5">
        <v>0.77083333333333404</v>
      </c>
      <c r="B19" s="34">
        <v>16</v>
      </c>
      <c r="C19" s="4" t="str">
        <f t="shared" si="15"/>
        <v>MonMAPD</v>
      </c>
      <c r="D19" s="4" t="str">
        <f t="shared" si="0"/>
        <v>TueMAPD</v>
      </c>
      <c r="E19" s="4" t="str">
        <f t="shared" si="0"/>
        <v>WedMAPD</v>
      </c>
      <c r="F19" s="4" t="str">
        <f t="shared" si="0"/>
        <v>ThuMAPD</v>
      </c>
      <c r="G19" s="4" t="str">
        <f t="shared" si="0"/>
        <v>FriMAPD</v>
      </c>
      <c r="H19" s="16" t="str">
        <f t="shared" si="4"/>
        <v>MA35</v>
      </c>
      <c r="I19" s="4" t="str">
        <f t="shared" si="5"/>
        <v>MAPD</v>
      </c>
      <c r="K19" s="5">
        <v>0.64583333333333404</v>
      </c>
      <c r="L19" s="34">
        <v>16</v>
      </c>
      <c r="M19" s="6" t="str">
        <f t="shared" si="6"/>
        <v>MonPMHS</v>
      </c>
      <c r="N19" s="6" t="str">
        <f t="shared" si="1"/>
        <v>TuePMHS</v>
      </c>
      <c r="O19" s="6" t="str">
        <f t="shared" si="1"/>
        <v>WedPMHS</v>
      </c>
      <c r="P19" s="6" t="str">
        <f t="shared" si="1"/>
        <v>ThuPMHS</v>
      </c>
      <c r="Q19" s="6" t="str">
        <f t="shared" si="1"/>
        <v>FriPMHS</v>
      </c>
      <c r="R19" s="16" t="str">
        <f t="shared" si="7"/>
        <v>PM35</v>
      </c>
      <c r="S19" s="19" t="str">
        <f t="shared" si="8"/>
        <v>PMHS</v>
      </c>
      <c r="U19" s="5">
        <v>0.64583333333333404</v>
      </c>
      <c r="V19" s="34">
        <v>16</v>
      </c>
      <c r="W19" s="6" t="str">
        <f t="shared" si="9"/>
        <v>MonMedPro</v>
      </c>
      <c r="X19" s="6" t="str">
        <f t="shared" si="2"/>
        <v>TueMedPro</v>
      </c>
      <c r="Y19" s="6" t="str">
        <f t="shared" si="2"/>
        <v>WedMedPro</v>
      </c>
      <c r="Z19" s="6" t="str">
        <f t="shared" si="2"/>
        <v>ThuMedPro</v>
      </c>
      <c r="AA19" s="6" t="str">
        <f t="shared" si="2"/>
        <v>FriMedPro</v>
      </c>
      <c r="AB19" s="16" t="str">
        <f t="shared" si="10"/>
        <v>Me35</v>
      </c>
      <c r="AC19" s="19" t="str">
        <f t="shared" si="11"/>
        <v>MedPro</v>
      </c>
      <c r="AE19" s="5">
        <v>0.60416666666666696</v>
      </c>
      <c r="AF19" s="34">
        <v>16</v>
      </c>
      <c r="AG19" s="6" t="str">
        <f t="shared" si="12"/>
        <v>MonPWR</v>
      </c>
      <c r="AH19" s="6" t="str">
        <f t="shared" si="3"/>
        <v>TuePWR</v>
      </c>
      <c r="AI19" s="6" t="str">
        <f t="shared" si="3"/>
        <v>WedPWR</v>
      </c>
      <c r="AJ19" s="6" t="str">
        <f t="shared" si="3"/>
        <v>ThuPWR</v>
      </c>
      <c r="AK19" s="6" t="str">
        <f t="shared" si="3"/>
        <v>FriPWR</v>
      </c>
      <c r="AL19" s="16" t="str">
        <f t="shared" si="13"/>
        <v>PW68</v>
      </c>
      <c r="AM19" s="19" t="str">
        <f t="shared" si="14"/>
        <v>PWR</v>
      </c>
    </row>
    <row r="20" spans="1:39" ht="15" x14ac:dyDescent="0.2">
      <c r="A20" s="5">
        <v>0.79166666666666696</v>
      </c>
      <c r="B20" s="34">
        <v>17</v>
      </c>
      <c r="C20" s="4" t="str">
        <f t="shared" si="15"/>
        <v>MonMAPD</v>
      </c>
      <c r="D20" s="4" t="str">
        <f t="shared" si="15"/>
        <v>TueMAPD</v>
      </c>
      <c r="E20" s="4" t="str">
        <f t="shared" si="15"/>
        <v>WedMAPD</v>
      </c>
      <c r="F20" s="4" t="str">
        <f t="shared" si="15"/>
        <v>ThuMAPD</v>
      </c>
      <c r="G20" s="4" t="str">
        <f t="shared" si="15"/>
        <v>FriMAPD</v>
      </c>
      <c r="H20" s="16" t="str">
        <f t="shared" si="4"/>
        <v>MA68</v>
      </c>
      <c r="I20" s="4" t="str">
        <f t="shared" si="5"/>
        <v>MAPD</v>
      </c>
      <c r="K20" s="5">
        <v>0.66666666666666696</v>
      </c>
      <c r="L20" s="34">
        <v>17</v>
      </c>
      <c r="M20" s="6" t="str">
        <f t="shared" si="6"/>
        <v>MonPMHS</v>
      </c>
      <c r="N20" s="6" t="str">
        <f t="shared" si="6"/>
        <v>TuePMHS</v>
      </c>
      <c r="O20" s="6" t="str">
        <f t="shared" si="6"/>
        <v>WedPMHS</v>
      </c>
      <c r="P20" s="6" t="str">
        <f t="shared" si="6"/>
        <v>ThuPMHS</v>
      </c>
      <c r="Q20" s="6" t="str">
        <f t="shared" si="6"/>
        <v>FriPMHS</v>
      </c>
      <c r="R20" s="16" t="str">
        <f t="shared" si="7"/>
        <v>PM68</v>
      </c>
      <c r="S20" s="19" t="str">
        <f t="shared" si="8"/>
        <v>PMHS</v>
      </c>
      <c r="U20" s="5">
        <v>0.66666666666666696</v>
      </c>
      <c r="V20" s="34">
        <v>17</v>
      </c>
      <c r="W20" s="6" t="str">
        <f t="shared" si="9"/>
        <v>MonMedPro</v>
      </c>
      <c r="X20" s="6" t="str">
        <f t="shared" si="9"/>
        <v>TueMedPro</v>
      </c>
      <c r="Y20" s="6" t="str">
        <f t="shared" si="9"/>
        <v>WedMedPro</v>
      </c>
      <c r="Z20" s="6" t="str">
        <f t="shared" si="9"/>
        <v>ThuMedPro</v>
      </c>
      <c r="AA20" s="6" t="str">
        <f t="shared" si="9"/>
        <v>FriMedPro</v>
      </c>
      <c r="AB20" s="16" t="str">
        <f t="shared" si="10"/>
        <v>Me68</v>
      </c>
      <c r="AC20" s="19" t="str">
        <f t="shared" si="11"/>
        <v>MedPro</v>
      </c>
      <c r="AE20" s="5">
        <v>0.625</v>
      </c>
      <c r="AF20" s="34">
        <v>17</v>
      </c>
      <c r="AG20" s="6" t="str">
        <f t="shared" si="12"/>
        <v>MonPWR</v>
      </c>
      <c r="AH20" s="6" t="str">
        <f t="shared" si="12"/>
        <v>TuePWR</v>
      </c>
      <c r="AI20" s="6" t="str">
        <f t="shared" si="12"/>
        <v>WedPWR</v>
      </c>
      <c r="AJ20" s="6" t="str">
        <f t="shared" si="12"/>
        <v>ThuPWR</v>
      </c>
      <c r="AK20" s="6" t="str">
        <f t="shared" si="12"/>
        <v>FriPWR</v>
      </c>
      <c r="AL20" s="16" t="str">
        <f t="shared" si="13"/>
        <v>PW26</v>
      </c>
      <c r="AM20" s="19" t="str">
        <f t="shared" si="14"/>
        <v>PWR</v>
      </c>
    </row>
    <row r="21" spans="1:39" ht="15" x14ac:dyDescent="0.2">
      <c r="A21" s="7">
        <v>0.8125</v>
      </c>
      <c r="B21" s="34">
        <v>18</v>
      </c>
      <c r="C21" s="4" t="str">
        <f t="shared" si="15"/>
        <v>MonMAPD</v>
      </c>
      <c r="D21" s="4" t="str">
        <f t="shared" si="15"/>
        <v>TueMAPD</v>
      </c>
      <c r="E21" s="4" t="str">
        <f t="shared" si="15"/>
        <v>WedMAPD</v>
      </c>
      <c r="F21" s="4" t="str">
        <f t="shared" si="15"/>
        <v>ThuMAPD</v>
      </c>
      <c r="G21" s="4" t="str">
        <f t="shared" si="15"/>
        <v>FriMAPD</v>
      </c>
      <c r="H21" s="16" t="str">
        <f t="shared" si="4"/>
        <v>MA26</v>
      </c>
      <c r="I21" s="4" t="str">
        <f t="shared" si="5"/>
        <v>MAPD</v>
      </c>
      <c r="K21" s="5">
        <v>0.6875</v>
      </c>
      <c r="L21" s="34">
        <v>18</v>
      </c>
      <c r="M21" s="6" t="str">
        <f t="shared" si="6"/>
        <v>MonPMHS</v>
      </c>
      <c r="N21" s="6" t="str">
        <f t="shared" si="6"/>
        <v>TuePMHS</v>
      </c>
      <c r="O21" s="6" t="str">
        <f t="shared" si="6"/>
        <v>WedPMHS</v>
      </c>
      <c r="P21" s="6" t="str">
        <f t="shared" si="6"/>
        <v>ThuPMHS</v>
      </c>
      <c r="Q21" s="6" t="str">
        <f t="shared" si="6"/>
        <v>FriPMHS</v>
      </c>
      <c r="R21" s="16" t="str">
        <f t="shared" si="7"/>
        <v>PM76</v>
      </c>
      <c r="S21" s="19" t="str">
        <f t="shared" si="8"/>
        <v>PMHS</v>
      </c>
      <c r="U21" s="5">
        <v>0.6875</v>
      </c>
      <c r="V21" s="34">
        <v>18</v>
      </c>
      <c r="W21" s="6" t="str">
        <f t="shared" si="9"/>
        <v>MonMedPro</v>
      </c>
      <c r="X21" s="6" t="str">
        <f t="shared" si="9"/>
        <v>TueMedPro</v>
      </c>
      <c r="Y21" s="6" t="str">
        <f t="shared" si="9"/>
        <v>WedMedPro</v>
      </c>
      <c r="Z21" s="6" t="str">
        <f t="shared" si="9"/>
        <v>ThuMedPro</v>
      </c>
      <c r="AA21" s="6" t="str">
        <f t="shared" si="9"/>
        <v>FriMedPro</v>
      </c>
      <c r="AB21" s="16" t="str">
        <f t="shared" si="10"/>
        <v>Me76</v>
      </c>
      <c r="AC21" s="19" t="str">
        <f t="shared" si="11"/>
        <v>MedPro</v>
      </c>
      <c r="AE21" s="5">
        <v>0.64583333333333304</v>
      </c>
      <c r="AF21" s="34">
        <v>18</v>
      </c>
      <c r="AG21" s="6" t="str">
        <f t="shared" si="12"/>
        <v>MonPWR</v>
      </c>
      <c r="AH21" s="6" t="str">
        <f t="shared" si="12"/>
        <v>TuePWR</v>
      </c>
      <c r="AI21" s="6" t="str">
        <f t="shared" si="12"/>
        <v>WedPWR</v>
      </c>
      <c r="AJ21" s="6" t="str">
        <f t="shared" si="12"/>
        <v>ThuPWR</v>
      </c>
      <c r="AK21" s="6" t="str">
        <f t="shared" si="12"/>
        <v>FriPWR</v>
      </c>
      <c r="AL21" s="16" t="str">
        <f t="shared" si="13"/>
        <v>PW34</v>
      </c>
      <c r="AM21" s="19" t="str">
        <f t="shared" si="14"/>
        <v>PWR</v>
      </c>
    </row>
    <row r="22" spans="1:39" ht="15" x14ac:dyDescent="0.2">
      <c r="A22" s="2"/>
      <c r="B22" s="33"/>
      <c r="K22" s="5">
        <v>0.70833333333333404</v>
      </c>
      <c r="L22" s="34">
        <v>19</v>
      </c>
      <c r="M22" s="6" t="str">
        <f t="shared" si="6"/>
        <v>MonPMHS</v>
      </c>
      <c r="N22" s="6" t="str">
        <f t="shared" si="6"/>
        <v>TuePMHS</v>
      </c>
      <c r="O22" s="6" t="str">
        <f t="shared" si="6"/>
        <v>WedPMHS</v>
      </c>
      <c r="P22" s="6" t="str">
        <f t="shared" si="6"/>
        <v>ThuPMHS</v>
      </c>
      <c r="Q22" s="6" t="str">
        <f t="shared" si="6"/>
        <v>FriPMHS</v>
      </c>
      <c r="R22" s="16" t="str">
        <f t="shared" si="7"/>
        <v>PM35</v>
      </c>
      <c r="S22" s="19" t="str">
        <f t="shared" si="8"/>
        <v>PMHS</v>
      </c>
      <c r="U22" s="5">
        <v>0.70833333333333404</v>
      </c>
      <c r="V22" s="34">
        <v>19</v>
      </c>
      <c r="W22" s="6" t="str">
        <f t="shared" si="9"/>
        <v>MonMedPro</v>
      </c>
      <c r="X22" s="6" t="str">
        <f t="shared" si="9"/>
        <v>TueMedPro</v>
      </c>
      <c r="Y22" s="6" t="str">
        <f t="shared" si="9"/>
        <v>WedMedPro</v>
      </c>
      <c r="Z22" s="6" t="str">
        <f t="shared" si="9"/>
        <v>ThuMedPro</v>
      </c>
      <c r="AA22" s="6" t="str">
        <f t="shared" si="9"/>
        <v>FriMedPro</v>
      </c>
      <c r="AB22" s="16" t="str">
        <f t="shared" si="10"/>
        <v>Me35</v>
      </c>
      <c r="AC22" s="19" t="str">
        <f t="shared" si="11"/>
        <v>MedPro</v>
      </c>
      <c r="AE22" s="5">
        <v>0.66666666666666696</v>
      </c>
      <c r="AF22" s="34">
        <v>19</v>
      </c>
      <c r="AG22" s="6" t="str">
        <f t="shared" si="12"/>
        <v>MonPWR</v>
      </c>
      <c r="AH22" s="6" t="str">
        <f t="shared" si="12"/>
        <v>TuePWR</v>
      </c>
      <c r="AI22" s="6" t="str">
        <f t="shared" si="12"/>
        <v>WedPWR</v>
      </c>
      <c r="AJ22" s="6" t="str">
        <f t="shared" si="12"/>
        <v>ThuPWR</v>
      </c>
      <c r="AK22" s="6" t="str">
        <f t="shared" si="12"/>
        <v>FriPWR</v>
      </c>
      <c r="AL22" s="16" t="str">
        <f t="shared" si="13"/>
        <v>PW68</v>
      </c>
      <c r="AM22" s="19" t="str">
        <f t="shared" si="14"/>
        <v>PWR</v>
      </c>
    </row>
    <row r="23" spans="1:39" ht="15" x14ac:dyDescent="0.2">
      <c r="B23" s="33"/>
      <c r="K23" s="5">
        <v>0.72916666666666696</v>
      </c>
      <c r="L23" s="34">
        <v>20</v>
      </c>
      <c r="M23" s="6" t="str">
        <f t="shared" si="6"/>
        <v>MonPMHS</v>
      </c>
      <c r="N23" s="6" t="str">
        <f t="shared" si="6"/>
        <v>TuePMHS</v>
      </c>
      <c r="O23" s="6" t="str">
        <f t="shared" si="6"/>
        <v>WedPMHS</v>
      </c>
      <c r="P23" s="6" t="str">
        <f t="shared" si="6"/>
        <v>ThuPMHS</v>
      </c>
      <c r="Q23" s="6" t="str">
        <f t="shared" si="6"/>
        <v>FriPMHS</v>
      </c>
      <c r="R23" s="16" t="str">
        <f t="shared" si="7"/>
        <v>PM68</v>
      </c>
      <c r="S23" s="19" t="str">
        <f t="shared" si="8"/>
        <v>PMHS</v>
      </c>
      <c r="U23" s="5">
        <v>0.72916666666666696</v>
      </c>
      <c r="V23" s="34">
        <v>20</v>
      </c>
      <c r="W23" s="6" t="str">
        <f t="shared" si="9"/>
        <v>MonMedPro</v>
      </c>
      <c r="X23" s="6" t="str">
        <f t="shared" si="9"/>
        <v>TueMedPro</v>
      </c>
      <c r="Y23" s="6" t="str">
        <f t="shared" si="9"/>
        <v>WedMedPro</v>
      </c>
      <c r="Z23" s="6" t="str">
        <f t="shared" si="9"/>
        <v>ThuMedPro</v>
      </c>
      <c r="AA23" s="6" t="str">
        <f t="shared" si="9"/>
        <v>FriMedPro</v>
      </c>
      <c r="AB23" s="16" t="str">
        <f t="shared" si="10"/>
        <v>Me68</v>
      </c>
      <c r="AC23" s="19" t="str">
        <f t="shared" si="11"/>
        <v>MedPro</v>
      </c>
      <c r="AE23" s="5">
        <v>0.6875</v>
      </c>
      <c r="AF23" s="34">
        <v>20</v>
      </c>
      <c r="AG23" s="6" t="str">
        <f t="shared" si="12"/>
        <v>MonPWR</v>
      </c>
      <c r="AH23" s="6" t="str">
        <f t="shared" si="12"/>
        <v>TuePWR</v>
      </c>
      <c r="AI23" s="6" t="str">
        <f t="shared" si="12"/>
        <v>WedPWR</v>
      </c>
      <c r="AJ23" s="6" t="str">
        <f t="shared" si="12"/>
        <v>ThuPWR</v>
      </c>
      <c r="AK23" s="6" t="str">
        <f t="shared" si="12"/>
        <v>FriPWR</v>
      </c>
      <c r="AL23" s="16" t="str">
        <f t="shared" si="13"/>
        <v>PW76</v>
      </c>
      <c r="AM23" s="19" t="str">
        <f t="shared" si="14"/>
        <v>PWR</v>
      </c>
    </row>
    <row r="24" spans="1:39" ht="15" x14ac:dyDescent="0.2">
      <c r="B24" s="33"/>
      <c r="K24" s="5">
        <v>0.75</v>
      </c>
      <c r="L24" s="34">
        <v>21</v>
      </c>
      <c r="M24" s="6" t="str">
        <f t="shared" si="6"/>
        <v>MonPMHS</v>
      </c>
      <c r="N24" s="6" t="str">
        <f t="shared" si="6"/>
        <v>TuePMHS</v>
      </c>
      <c r="O24" s="6" t="str">
        <f t="shared" si="6"/>
        <v>WedPMHS</v>
      </c>
      <c r="P24" s="6" t="str">
        <f t="shared" si="6"/>
        <v>ThuPMHS</v>
      </c>
      <c r="Q24" s="6" t="str">
        <f t="shared" si="6"/>
        <v>FriPMHS</v>
      </c>
      <c r="R24" s="16" t="str">
        <f t="shared" si="7"/>
        <v>PM76</v>
      </c>
      <c r="S24" s="19" t="str">
        <f t="shared" si="8"/>
        <v>PMHS</v>
      </c>
      <c r="U24" s="5">
        <v>0.75</v>
      </c>
      <c r="V24" s="34">
        <v>21</v>
      </c>
      <c r="W24" s="6" t="str">
        <f t="shared" si="9"/>
        <v>MonMedPro</v>
      </c>
      <c r="X24" s="6" t="str">
        <f t="shared" si="9"/>
        <v>TueMedPro</v>
      </c>
      <c r="Y24" s="6" t="str">
        <f t="shared" si="9"/>
        <v>WedMedPro</v>
      </c>
      <c r="Z24" s="6" t="str">
        <f t="shared" si="9"/>
        <v>ThuMedPro</v>
      </c>
      <c r="AA24" s="6" t="str">
        <f t="shared" si="9"/>
        <v>FriMedPro</v>
      </c>
      <c r="AB24" s="16" t="str">
        <f t="shared" si="10"/>
        <v>Me76</v>
      </c>
      <c r="AC24" s="19" t="str">
        <f t="shared" si="11"/>
        <v>MedPro</v>
      </c>
      <c r="AE24" s="5">
        <v>0.70833333333333304</v>
      </c>
      <c r="AF24" s="34">
        <v>21</v>
      </c>
      <c r="AG24" s="6" t="str">
        <f t="shared" si="12"/>
        <v>MonPWR</v>
      </c>
      <c r="AH24" s="6" t="str">
        <f t="shared" si="12"/>
        <v>TuePWR</v>
      </c>
      <c r="AI24" s="6" t="str">
        <f t="shared" si="12"/>
        <v>WedPWR</v>
      </c>
      <c r="AJ24" s="6" t="str">
        <f t="shared" si="12"/>
        <v>ThuPWR</v>
      </c>
      <c r="AK24" s="6" t="str">
        <f t="shared" si="12"/>
        <v>FriPWR</v>
      </c>
      <c r="AL24" s="16" t="str">
        <f t="shared" si="13"/>
        <v>PW34</v>
      </c>
      <c r="AM24" s="19" t="str">
        <f t="shared" si="14"/>
        <v>PWR</v>
      </c>
    </row>
    <row r="25" spans="1:39" ht="15" x14ac:dyDescent="0.2">
      <c r="B25" s="33"/>
      <c r="K25" s="5">
        <v>0.77083333333333404</v>
      </c>
      <c r="L25" s="34">
        <v>22</v>
      </c>
      <c r="M25" s="6" t="str">
        <f t="shared" si="6"/>
        <v>MonPMHS</v>
      </c>
      <c r="N25" s="6" t="str">
        <f t="shared" si="6"/>
        <v>TuePMHS</v>
      </c>
      <c r="O25" s="6" t="str">
        <f t="shared" si="6"/>
        <v>WedPMHS</v>
      </c>
      <c r="P25" s="6" t="str">
        <f t="shared" si="6"/>
        <v>ThuPMHS</v>
      </c>
      <c r="Q25" s="6" t="str">
        <f t="shared" si="6"/>
        <v>FriPMHS</v>
      </c>
      <c r="R25" s="16" t="str">
        <f t="shared" si="7"/>
        <v>PM35</v>
      </c>
      <c r="S25" s="19" t="str">
        <f t="shared" si="8"/>
        <v>PMHS</v>
      </c>
      <c r="U25" s="5">
        <v>0.77083333333333404</v>
      </c>
      <c r="V25" s="34">
        <v>22</v>
      </c>
      <c r="W25" s="6" t="str">
        <f t="shared" si="9"/>
        <v>MonMedPro</v>
      </c>
      <c r="X25" s="6" t="str">
        <f t="shared" si="9"/>
        <v>TueMedPro</v>
      </c>
      <c r="Y25" s="6" t="str">
        <f t="shared" si="9"/>
        <v>WedMedPro</v>
      </c>
      <c r="Z25" s="6" t="str">
        <f t="shared" si="9"/>
        <v>ThuMedPro</v>
      </c>
      <c r="AA25" s="6" t="str">
        <f t="shared" si="9"/>
        <v>FriMedPro</v>
      </c>
      <c r="AB25" s="16" t="str">
        <f t="shared" si="10"/>
        <v>Me35</v>
      </c>
      <c r="AC25" s="19" t="str">
        <f t="shared" si="11"/>
        <v>MedPro</v>
      </c>
      <c r="AE25" s="5">
        <v>0.72916666666666696</v>
      </c>
      <c r="AF25" s="34">
        <v>22</v>
      </c>
      <c r="AG25" s="6" t="str">
        <f t="shared" si="12"/>
        <v>MonPWR</v>
      </c>
      <c r="AH25" s="6" t="str">
        <f t="shared" si="12"/>
        <v>TuePWR</v>
      </c>
      <c r="AI25" s="6" t="str">
        <f t="shared" si="12"/>
        <v>WedPWR</v>
      </c>
      <c r="AJ25" s="6" t="str">
        <f t="shared" si="12"/>
        <v>ThuPWR</v>
      </c>
      <c r="AK25" s="6" t="str">
        <f t="shared" si="12"/>
        <v>FriPWR</v>
      </c>
      <c r="AL25" s="16" t="str">
        <f t="shared" si="13"/>
        <v>PW68</v>
      </c>
      <c r="AM25" s="19" t="str">
        <f t="shared" si="14"/>
        <v>PWR</v>
      </c>
    </row>
    <row r="26" spans="1:39" ht="15" x14ac:dyDescent="0.2">
      <c r="B26" s="33"/>
      <c r="K26" s="5">
        <v>0.79166666666666696</v>
      </c>
      <c r="L26" s="34">
        <v>23</v>
      </c>
      <c r="M26" s="6" t="str">
        <f t="shared" si="6"/>
        <v>MonPMHS</v>
      </c>
      <c r="N26" s="6" t="str">
        <f t="shared" si="6"/>
        <v>TuePMHS</v>
      </c>
      <c r="O26" s="6" t="str">
        <f t="shared" si="6"/>
        <v>WedPMHS</v>
      </c>
      <c r="P26" s="6" t="str">
        <f t="shared" si="6"/>
        <v>ThuPMHS</v>
      </c>
      <c r="Q26" s="6" t="str">
        <f t="shared" si="6"/>
        <v>FriPMHS</v>
      </c>
      <c r="R26" s="16" t="str">
        <f t="shared" si="7"/>
        <v>PM68</v>
      </c>
      <c r="S26" s="19" t="str">
        <f t="shared" si="8"/>
        <v>PMHS</v>
      </c>
      <c r="U26" s="5">
        <v>0.79166666666666696</v>
      </c>
      <c r="V26" s="34">
        <v>23</v>
      </c>
      <c r="W26" s="6" t="str">
        <f t="shared" si="9"/>
        <v>MonMedPro</v>
      </c>
      <c r="X26" s="6" t="str">
        <f t="shared" si="9"/>
        <v>TueMedPro</v>
      </c>
      <c r="Y26" s="6" t="str">
        <f t="shared" si="9"/>
        <v>WedMedPro</v>
      </c>
      <c r="Z26" s="6" t="str">
        <f t="shared" si="9"/>
        <v>ThuMedPro</v>
      </c>
      <c r="AA26" s="6" t="str">
        <f t="shared" si="9"/>
        <v>FriMedPro</v>
      </c>
      <c r="AB26" s="16" t="str">
        <f t="shared" si="10"/>
        <v>Me68</v>
      </c>
      <c r="AC26" s="19" t="str">
        <f t="shared" si="11"/>
        <v>MedPro</v>
      </c>
      <c r="AE26" s="5">
        <v>0.75</v>
      </c>
      <c r="AF26" s="34">
        <v>23</v>
      </c>
      <c r="AG26" s="6" t="str">
        <f t="shared" si="12"/>
        <v>MonPWR</v>
      </c>
      <c r="AH26" s="6" t="str">
        <f t="shared" si="12"/>
        <v>TuePWR</v>
      </c>
      <c r="AI26" s="6" t="str">
        <f t="shared" si="12"/>
        <v>WedPWR</v>
      </c>
      <c r="AJ26" s="6" t="str">
        <f t="shared" si="12"/>
        <v>ThuPWR</v>
      </c>
      <c r="AK26" s="6" t="str">
        <f t="shared" si="12"/>
        <v>FriPWR</v>
      </c>
      <c r="AL26" s="16" t="str">
        <f t="shared" si="13"/>
        <v>PW76</v>
      </c>
      <c r="AM26" s="19" t="str">
        <f t="shared" si="14"/>
        <v>PWR</v>
      </c>
    </row>
    <row r="27" spans="1:39" ht="15" x14ac:dyDescent="0.2">
      <c r="B27" s="33"/>
      <c r="K27" s="7">
        <v>0.812500000000001</v>
      </c>
      <c r="L27" s="34">
        <v>24</v>
      </c>
      <c r="M27" s="6" t="str">
        <f t="shared" si="6"/>
        <v>MonPMHS</v>
      </c>
      <c r="N27" s="6" t="str">
        <f t="shared" si="6"/>
        <v>TuePMHS</v>
      </c>
      <c r="O27" s="6" t="str">
        <f t="shared" si="6"/>
        <v>WedPMHS</v>
      </c>
      <c r="P27" s="6" t="str">
        <f t="shared" si="6"/>
        <v>ThuPMHS</v>
      </c>
      <c r="Q27" s="6" t="str">
        <f t="shared" si="6"/>
        <v>FriPMHS</v>
      </c>
      <c r="R27" s="16" t="str">
        <f t="shared" si="7"/>
        <v>PM2</v>
      </c>
      <c r="S27" s="19" t="str">
        <f t="shared" si="8"/>
        <v>PMHS</v>
      </c>
      <c r="U27" s="7">
        <v>0.812500000000001</v>
      </c>
      <c r="V27" s="34">
        <v>24</v>
      </c>
      <c r="W27" s="6" t="str">
        <f t="shared" si="9"/>
        <v>MonMedPro</v>
      </c>
      <c r="X27" s="6" t="str">
        <f t="shared" si="9"/>
        <v>TueMedPro</v>
      </c>
      <c r="Y27" s="6" t="str">
        <f t="shared" si="9"/>
        <v>WedMedPro</v>
      </c>
      <c r="Z27" s="6" t="str">
        <f t="shared" si="9"/>
        <v>ThuMedPro</v>
      </c>
      <c r="AA27" s="6" t="str">
        <f t="shared" si="9"/>
        <v>FriMedPro</v>
      </c>
      <c r="AB27" s="16" t="str">
        <f t="shared" si="10"/>
        <v>Me2</v>
      </c>
      <c r="AC27" s="19" t="str">
        <f t="shared" si="11"/>
        <v>MedPro</v>
      </c>
      <c r="AE27" s="7">
        <v>0.77083333333333304</v>
      </c>
      <c r="AF27" s="34">
        <v>24</v>
      </c>
      <c r="AG27" s="6" t="str">
        <f t="shared" si="12"/>
        <v>MonPWR</v>
      </c>
      <c r="AH27" s="6" t="str">
        <f t="shared" si="12"/>
        <v>TuePWR</v>
      </c>
      <c r="AI27" s="6" t="str">
        <f t="shared" si="12"/>
        <v>WedPWR</v>
      </c>
      <c r="AJ27" s="6" t="str">
        <f t="shared" si="12"/>
        <v>ThuPWR</v>
      </c>
      <c r="AK27" s="6" t="str">
        <f t="shared" si="12"/>
        <v>FriPWR</v>
      </c>
      <c r="AL27" s="16" t="str">
        <f t="shared" si="13"/>
        <v>PW34</v>
      </c>
      <c r="AM27" s="19" t="str">
        <f t="shared" si="14"/>
        <v>PWR</v>
      </c>
    </row>
    <row r="28" spans="1:39" ht="15" x14ac:dyDescent="0.2">
      <c r="B28" s="9"/>
      <c r="L28" s="9"/>
      <c r="V28" s="9"/>
      <c r="AF28" s="9"/>
    </row>
    <row r="29" spans="1:39" ht="15" x14ac:dyDescent="0.2">
      <c r="B29" s="9"/>
      <c r="L29" s="9"/>
      <c r="V29" s="9"/>
      <c r="AF29" s="9"/>
    </row>
    <row r="30" spans="1:39" ht="15" x14ac:dyDescent="0.2">
      <c r="B30" s="9"/>
      <c r="L30" s="9"/>
      <c r="V30" s="9"/>
      <c r="AF30" s="9"/>
    </row>
    <row r="31" spans="1:39" ht="15" x14ac:dyDescent="0.2">
      <c r="B31" s="9"/>
      <c r="L31" s="9"/>
      <c r="V31" s="9"/>
      <c r="AF31" s="9"/>
    </row>
    <row r="32" spans="1:39" ht="15" x14ac:dyDescent="0.2">
      <c r="B32" s="9"/>
      <c r="L32" s="9"/>
      <c r="V32" s="9"/>
      <c r="AF32" s="9"/>
    </row>
    <row r="33" spans="2:32" ht="15" x14ac:dyDescent="0.2">
      <c r="B33" s="9"/>
      <c r="L33" s="9"/>
      <c r="V33" s="9"/>
      <c r="AF33" s="9"/>
    </row>
    <row r="34" spans="2:32" ht="15" x14ac:dyDescent="0.2">
      <c r="B34" s="9"/>
      <c r="L34" s="9"/>
      <c r="V34" s="9"/>
      <c r="AF34" s="9"/>
    </row>
    <row r="35" spans="2:32" ht="15" x14ac:dyDescent="0.2">
      <c r="B35" s="9"/>
      <c r="L35" s="9"/>
      <c r="V35" s="9"/>
      <c r="AF35" s="9"/>
    </row>
    <row r="36" spans="2:32" ht="15" x14ac:dyDescent="0.2">
      <c r="B36" s="9"/>
      <c r="L36" s="9"/>
      <c r="V36" s="9"/>
      <c r="AF36" s="9"/>
    </row>
    <row r="37" spans="2:32" ht="15" x14ac:dyDescent="0.2">
      <c r="B37" s="9"/>
      <c r="L37" s="9"/>
      <c r="V37" s="9"/>
      <c r="AF37" s="9"/>
    </row>
    <row r="38" spans="2:32" ht="15" x14ac:dyDescent="0.2">
      <c r="B38" s="9"/>
      <c r="L38" s="9"/>
      <c r="V38" s="9"/>
      <c r="AF38" s="9"/>
    </row>
    <row r="39" spans="2:32" ht="15" x14ac:dyDescent="0.2">
      <c r="B39" s="9"/>
      <c r="L39" s="9"/>
      <c r="V39" s="9"/>
      <c r="AF39" s="9"/>
    </row>
    <row r="40" spans="2:32" ht="15" x14ac:dyDescent="0.2">
      <c r="B40" s="9"/>
      <c r="L40" s="9"/>
      <c r="V40" s="9"/>
      <c r="AF40" s="9"/>
    </row>
    <row r="41" spans="2:32" ht="15" x14ac:dyDescent="0.2">
      <c r="B41" s="9"/>
      <c r="L41" s="9"/>
      <c r="V41" s="9"/>
      <c r="AF41" s="9"/>
    </row>
    <row r="42" spans="2:32" ht="15" x14ac:dyDescent="0.2">
      <c r="B42" s="9"/>
      <c r="L42" s="9"/>
      <c r="V42" s="9"/>
      <c r="AF42" s="9"/>
    </row>
    <row r="43" spans="2:32" ht="15" x14ac:dyDescent="0.2">
      <c r="B43" s="9"/>
      <c r="L43" s="9"/>
      <c r="V43" s="9"/>
      <c r="AF43" s="9"/>
    </row>
    <row r="44" spans="2:32" ht="15" x14ac:dyDescent="0.2">
      <c r="B44" s="9"/>
      <c r="L44" s="9"/>
      <c r="V44" s="9"/>
      <c r="AF44" s="9"/>
    </row>
    <row r="45" spans="2:32" ht="15" x14ac:dyDescent="0.2">
      <c r="B45" s="9"/>
      <c r="L45" s="9"/>
      <c r="V45" s="9"/>
      <c r="AF45" s="9"/>
    </row>
    <row r="46" spans="2:32" ht="15" x14ac:dyDescent="0.2">
      <c r="B46" s="9"/>
      <c r="L46" s="9"/>
      <c r="V46" s="9"/>
      <c r="AF46" s="9"/>
    </row>
    <row r="47" spans="2:32" ht="15" x14ac:dyDescent="0.2">
      <c r="B47" s="9"/>
      <c r="L47" s="9"/>
      <c r="V47" s="9"/>
      <c r="AF47" s="9"/>
    </row>
    <row r="48" spans="2:32" ht="15" x14ac:dyDescent="0.2">
      <c r="B48" s="9"/>
      <c r="L48" s="9"/>
      <c r="V48" s="9"/>
      <c r="AF48" s="9"/>
    </row>
    <row r="49" spans="2:32" ht="15" x14ac:dyDescent="0.2">
      <c r="B49" s="9"/>
      <c r="L49" s="9"/>
      <c r="V49" s="9"/>
      <c r="AF49" s="9"/>
    </row>
    <row r="50" spans="2:32" ht="15" x14ac:dyDescent="0.2">
      <c r="B50" s="9"/>
      <c r="L50" s="9"/>
      <c r="V50" s="9"/>
      <c r="AF50" s="9"/>
    </row>
    <row r="51" spans="2:32" ht="15" x14ac:dyDescent="0.2">
      <c r="B51" s="9"/>
      <c r="L51" s="9"/>
      <c r="V51" s="9"/>
      <c r="AF51" s="9"/>
    </row>
    <row r="52" spans="2:32" ht="15" x14ac:dyDescent="0.2">
      <c r="B52" s="9"/>
      <c r="L52" s="9"/>
      <c r="V52" s="9"/>
      <c r="AF52" s="9"/>
    </row>
    <row r="53" spans="2:32" ht="15" x14ac:dyDescent="0.2">
      <c r="B53" s="9"/>
      <c r="L53" s="9"/>
      <c r="V53" s="9"/>
      <c r="AF53" s="9"/>
    </row>
    <row r="54" spans="2:32" ht="15" x14ac:dyDescent="0.2">
      <c r="B54" s="9"/>
      <c r="L54" s="9"/>
      <c r="V54" s="9"/>
      <c r="AF54" s="9"/>
    </row>
    <row r="55" spans="2:32" ht="15" x14ac:dyDescent="0.2">
      <c r="B55" s="9"/>
      <c r="L55" s="9"/>
      <c r="V55" s="9"/>
      <c r="AF55" s="9"/>
    </row>
    <row r="56" spans="2:32" ht="15" x14ac:dyDescent="0.2">
      <c r="B56" s="9"/>
      <c r="L56" s="9"/>
      <c r="V56" s="9"/>
      <c r="AF56" s="9"/>
    </row>
    <row r="57" spans="2:32" ht="15" x14ac:dyDescent="0.2">
      <c r="B57" s="9"/>
      <c r="L57" s="9"/>
      <c r="V57" s="9"/>
      <c r="AF57" s="9"/>
    </row>
    <row r="58" spans="2:32" ht="15" x14ac:dyDescent="0.2">
      <c r="B58" s="9"/>
      <c r="L58" s="9"/>
      <c r="V58" s="9"/>
      <c r="AF58" s="9"/>
    </row>
    <row r="59" spans="2:32" ht="15" x14ac:dyDescent="0.2">
      <c r="B59" s="9"/>
      <c r="L59" s="9"/>
      <c r="V59" s="9"/>
      <c r="AF59" s="9"/>
    </row>
    <row r="60" spans="2:32" ht="15" x14ac:dyDescent="0.2">
      <c r="B60" s="9"/>
      <c r="L60" s="9"/>
      <c r="V60" s="9"/>
      <c r="AF60" s="9"/>
    </row>
    <row r="61" spans="2:32" ht="15" x14ac:dyDescent="0.2">
      <c r="B61" s="9"/>
      <c r="L61" s="9"/>
      <c r="V61" s="9"/>
      <c r="AF61" s="9"/>
    </row>
    <row r="62" spans="2:32" ht="15" x14ac:dyDescent="0.2">
      <c r="B62" s="9"/>
      <c r="L62" s="9"/>
      <c r="V62" s="9"/>
      <c r="AF62" s="9"/>
    </row>
    <row r="63" spans="2:32" ht="15" x14ac:dyDescent="0.2">
      <c r="B63" s="9"/>
      <c r="L63" s="9"/>
      <c r="V63" s="9"/>
      <c r="AF63" s="9"/>
    </row>
    <row r="64" spans="2:32" ht="15" x14ac:dyDescent="0.2">
      <c r="B64" s="9"/>
      <c r="L64" s="9"/>
      <c r="V64" s="9"/>
      <c r="AF64" s="9"/>
    </row>
    <row r="65" spans="2:32" ht="15" x14ac:dyDescent="0.2">
      <c r="B65" s="9"/>
      <c r="L65" s="9"/>
      <c r="V65" s="9"/>
      <c r="AF65" s="9"/>
    </row>
    <row r="66" spans="2:32" ht="15" x14ac:dyDescent="0.2">
      <c r="B66" s="9"/>
      <c r="L66" s="9"/>
      <c r="V66" s="9"/>
      <c r="AF66" s="9"/>
    </row>
    <row r="67" spans="2:32" ht="15" x14ac:dyDescent="0.2">
      <c r="B67" s="9"/>
      <c r="L67" s="9"/>
      <c r="V67" s="9"/>
      <c r="AF67" s="9"/>
    </row>
    <row r="68" spans="2:32" ht="15" x14ac:dyDescent="0.2">
      <c r="B68" s="9"/>
      <c r="L68" s="9"/>
      <c r="V68" s="9"/>
      <c r="AF68" s="9"/>
    </row>
    <row r="69" spans="2:32" ht="15" x14ac:dyDescent="0.2">
      <c r="B69" s="9"/>
      <c r="L69" s="9"/>
      <c r="V69" s="9"/>
      <c r="AF69" s="9"/>
    </row>
    <row r="70" spans="2:32" ht="15" x14ac:dyDescent="0.2">
      <c r="B70" s="9"/>
      <c r="L70" s="9"/>
      <c r="V70" s="9"/>
      <c r="AF70" s="9"/>
    </row>
    <row r="71" spans="2:32" ht="15" x14ac:dyDescent="0.2">
      <c r="B71" s="9"/>
      <c r="L71" s="9"/>
      <c r="V71" s="9"/>
      <c r="AF71" s="9"/>
    </row>
    <row r="72" spans="2:32" ht="15" x14ac:dyDescent="0.2">
      <c r="B72" s="9"/>
      <c r="L72" s="9"/>
      <c r="V72" s="9"/>
      <c r="AF72" s="9"/>
    </row>
    <row r="73" spans="2:32" ht="15" x14ac:dyDescent="0.2">
      <c r="B73" s="9"/>
      <c r="L73" s="9"/>
      <c r="V73" s="9"/>
      <c r="AF73" s="9"/>
    </row>
    <row r="74" spans="2:32" ht="15" x14ac:dyDescent="0.2">
      <c r="B74" s="9"/>
      <c r="L74" s="9"/>
      <c r="V74" s="9"/>
      <c r="AF74" s="9"/>
    </row>
    <row r="75" spans="2:32" ht="15" x14ac:dyDescent="0.2">
      <c r="B75" s="9"/>
      <c r="L75" s="9"/>
      <c r="V75" s="9"/>
      <c r="AF75" s="9"/>
    </row>
    <row r="76" spans="2:32" ht="15" x14ac:dyDescent="0.2">
      <c r="B76" s="9"/>
      <c r="L76" s="9"/>
      <c r="V76" s="9"/>
      <c r="AF76" s="9"/>
    </row>
    <row r="77" spans="2:32" ht="15" x14ac:dyDescent="0.2">
      <c r="B77" s="9"/>
      <c r="L77" s="9"/>
      <c r="V77" s="9"/>
      <c r="AF77" s="9"/>
    </row>
    <row r="78" spans="2:32" ht="15" x14ac:dyDescent="0.2">
      <c r="B78" s="9"/>
      <c r="L78" s="9"/>
      <c r="V78" s="9"/>
      <c r="AF78" s="9"/>
    </row>
    <row r="79" spans="2:32" ht="15" x14ac:dyDescent="0.2">
      <c r="B79" s="9"/>
      <c r="L79" s="9"/>
      <c r="V79" s="9"/>
      <c r="AF79" s="9"/>
    </row>
    <row r="80" spans="2:32" ht="15" x14ac:dyDescent="0.2">
      <c r="B80" s="9"/>
      <c r="L80" s="9"/>
      <c r="V80" s="9"/>
      <c r="AF80" s="9"/>
    </row>
    <row r="81" spans="2:32" ht="15" x14ac:dyDescent="0.2">
      <c r="B81" s="9"/>
      <c r="L81" s="9"/>
      <c r="V81" s="9"/>
      <c r="AF81" s="9"/>
    </row>
    <row r="82" spans="2:32" ht="15" x14ac:dyDescent="0.2">
      <c r="B82" s="9"/>
      <c r="L82" s="9"/>
      <c r="V82" s="9"/>
      <c r="AF82" s="9"/>
    </row>
    <row r="83" spans="2:32" ht="15" x14ac:dyDescent="0.2">
      <c r="B83" s="9"/>
      <c r="L83" s="9"/>
      <c r="V83" s="9"/>
      <c r="AF83" s="9"/>
    </row>
    <row r="84" spans="2:32" ht="15" x14ac:dyDescent="0.2">
      <c r="B84" s="9"/>
      <c r="L84" s="9"/>
      <c r="V84" s="9"/>
      <c r="AF84" s="9"/>
    </row>
    <row r="85" spans="2:32" ht="15" x14ac:dyDescent="0.2">
      <c r="B85" s="9"/>
      <c r="L85" s="9"/>
      <c r="V85" s="9"/>
      <c r="AF85" s="9"/>
    </row>
    <row r="86" spans="2:32" ht="15" x14ac:dyDescent="0.2">
      <c r="B86" s="9"/>
      <c r="L86" s="9"/>
      <c r="V86" s="9"/>
      <c r="AF86" s="9"/>
    </row>
    <row r="87" spans="2:32" ht="15" x14ac:dyDescent="0.2">
      <c r="B87" s="9"/>
      <c r="L87" s="9"/>
      <c r="V87" s="9"/>
      <c r="AF87" s="9"/>
    </row>
    <row r="88" spans="2:32" ht="15" x14ac:dyDescent="0.2">
      <c r="B88" s="9"/>
      <c r="L88" s="9"/>
      <c r="V88" s="9"/>
      <c r="AF88" s="9"/>
    </row>
    <row r="89" spans="2:32" ht="15" x14ac:dyDescent="0.2">
      <c r="B89" s="9"/>
      <c r="L89" s="9"/>
      <c r="V89" s="9"/>
      <c r="AF89" s="9"/>
    </row>
    <row r="90" spans="2:32" ht="15" x14ac:dyDescent="0.2">
      <c r="B90" s="9"/>
      <c r="L90" s="9"/>
      <c r="V90" s="9"/>
      <c r="AF90" s="9"/>
    </row>
    <row r="91" spans="2:32" ht="15" x14ac:dyDescent="0.2">
      <c r="B91" s="9"/>
      <c r="L91" s="9"/>
      <c r="V91" s="9"/>
      <c r="AF91" s="9"/>
    </row>
    <row r="92" spans="2:32" ht="15" x14ac:dyDescent="0.2">
      <c r="B92" s="9"/>
      <c r="L92" s="9"/>
      <c r="V92" s="9"/>
      <c r="AF92" s="9"/>
    </row>
    <row r="93" spans="2:32" ht="15" x14ac:dyDescent="0.2">
      <c r="B93" s="9"/>
      <c r="L93" s="9"/>
      <c r="V93" s="9"/>
      <c r="AF93" s="9"/>
    </row>
    <row r="94" spans="2:32" ht="15" x14ac:dyDescent="0.2">
      <c r="B94" s="9"/>
      <c r="L94" s="9"/>
      <c r="V94" s="9"/>
      <c r="AF94" s="9"/>
    </row>
    <row r="95" spans="2:32" ht="15" x14ac:dyDescent="0.2">
      <c r="B95" s="9"/>
      <c r="L95" s="9"/>
      <c r="V95" s="9"/>
      <c r="AF95" s="9"/>
    </row>
    <row r="96" spans="2:32" ht="15" x14ac:dyDescent="0.2">
      <c r="B96" s="9"/>
      <c r="L96" s="9"/>
      <c r="V96" s="9"/>
      <c r="AF96" s="9"/>
    </row>
    <row r="97" spans="2:32" ht="15" x14ac:dyDescent="0.2">
      <c r="B97" s="9"/>
      <c r="L97" s="9"/>
      <c r="V97" s="9"/>
      <c r="AF97" s="9"/>
    </row>
    <row r="98" spans="2:32" ht="15" x14ac:dyDescent="0.2">
      <c r="B98" s="9"/>
      <c r="L98" s="9"/>
      <c r="V98" s="9"/>
      <c r="AF98" s="9"/>
    </row>
    <row r="99" spans="2:32" ht="15" x14ac:dyDescent="0.2">
      <c r="B99" s="9"/>
      <c r="L99" s="9"/>
      <c r="V99" s="9"/>
      <c r="AF99" s="9"/>
    </row>
    <row r="100" spans="2:32" ht="15" x14ac:dyDescent="0.2">
      <c r="B100" s="9"/>
      <c r="L100" s="9"/>
      <c r="V100" s="9"/>
      <c r="AF100" s="9"/>
    </row>
    <row r="101" spans="2:32" ht="15" x14ac:dyDescent="0.2">
      <c r="B101" s="9"/>
      <c r="L101" s="9"/>
      <c r="V101" s="9"/>
      <c r="AF101" s="9"/>
    </row>
    <row r="102" spans="2:32" ht="15" x14ac:dyDescent="0.2">
      <c r="B102" s="9"/>
      <c r="L102" s="9"/>
      <c r="V102" s="9"/>
      <c r="AF102" s="9"/>
    </row>
    <row r="103" spans="2:32" ht="15" x14ac:dyDescent="0.2">
      <c r="B103" s="9"/>
      <c r="L103" s="9"/>
      <c r="V103" s="9"/>
      <c r="AF103" s="9"/>
    </row>
    <row r="104" spans="2:32" ht="15" x14ac:dyDescent="0.2">
      <c r="B104" s="9"/>
      <c r="L104" s="9"/>
      <c r="V104" s="9"/>
      <c r="AF104" s="9"/>
    </row>
    <row r="105" spans="2:32" ht="15" x14ac:dyDescent="0.2">
      <c r="B105" s="9"/>
      <c r="L105" s="9"/>
      <c r="V105" s="9"/>
      <c r="AF105" s="9"/>
    </row>
    <row r="106" spans="2:32" ht="15" x14ac:dyDescent="0.2">
      <c r="B106" s="9"/>
      <c r="L106" s="9"/>
      <c r="V106" s="9"/>
      <c r="AF106" s="9"/>
    </row>
    <row r="107" spans="2:32" ht="15" x14ac:dyDescent="0.2">
      <c r="B107" s="9"/>
      <c r="L107" s="9"/>
      <c r="V107" s="9"/>
      <c r="AF107" s="9"/>
    </row>
    <row r="108" spans="2:32" ht="15" x14ac:dyDescent="0.2">
      <c r="B108" s="9"/>
      <c r="L108" s="9"/>
      <c r="V108" s="9"/>
      <c r="AF108" s="9"/>
    </row>
    <row r="109" spans="2:32" ht="15" x14ac:dyDescent="0.2">
      <c r="B109" s="9"/>
      <c r="L109" s="9"/>
      <c r="V109" s="9"/>
      <c r="AF109" s="9"/>
    </row>
    <row r="110" spans="2:32" ht="15" x14ac:dyDescent="0.2">
      <c r="B110" s="9"/>
      <c r="L110" s="9"/>
      <c r="V110" s="9"/>
      <c r="AF110" s="9"/>
    </row>
    <row r="111" spans="2:32" ht="15" x14ac:dyDescent="0.2">
      <c r="B111" s="9"/>
      <c r="L111" s="9"/>
      <c r="V111" s="9"/>
      <c r="AF111" s="9"/>
    </row>
    <row r="112" spans="2:32" ht="15" x14ac:dyDescent="0.2">
      <c r="B112" s="9"/>
      <c r="L112" s="9"/>
      <c r="V112" s="9"/>
      <c r="AF112" s="9"/>
    </row>
    <row r="113" spans="2:32" ht="15" x14ac:dyDescent="0.2">
      <c r="B113" s="9"/>
      <c r="L113" s="9"/>
      <c r="V113" s="9"/>
      <c r="AF113" s="9"/>
    </row>
    <row r="114" spans="2:32" ht="15" x14ac:dyDescent="0.2">
      <c r="B114" s="9"/>
      <c r="L114" s="9"/>
      <c r="V114" s="9"/>
      <c r="AF114" s="9"/>
    </row>
    <row r="115" spans="2:32" ht="15" x14ac:dyDescent="0.2">
      <c r="B115" s="9"/>
      <c r="L115" s="9"/>
      <c r="V115" s="9"/>
      <c r="AF115" s="9"/>
    </row>
    <row r="116" spans="2:32" ht="15" x14ac:dyDescent="0.2">
      <c r="B116" s="9"/>
      <c r="L116" s="9"/>
      <c r="V116" s="9"/>
      <c r="AF116" s="9"/>
    </row>
    <row r="117" spans="2:32" ht="15" x14ac:dyDescent="0.2">
      <c r="B117" s="9"/>
      <c r="L117" s="9"/>
      <c r="V117" s="9"/>
      <c r="AF117" s="9"/>
    </row>
    <row r="118" spans="2:32" ht="15" x14ac:dyDescent="0.2">
      <c r="B118" s="9"/>
      <c r="L118" s="9"/>
      <c r="V118" s="9"/>
      <c r="AF118" s="9"/>
    </row>
    <row r="119" spans="2:32" ht="15" x14ac:dyDescent="0.2">
      <c r="B119" s="9"/>
      <c r="L119" s="9"/>
      <c r="V119" s="9"/>
      <c r="AF119" s="9"/>
    </row>
    <row r="120" spans="2:32" ht="15" x14ac:dyDescent="0.2">
      <c r="B120" s="9"/>
      <c r="L120" s="9"/>
      <c r="V120" s="9"/>
      <c r="AF120" s="9"/>
    </row>
    <row r="121" spans="2:32" ht="15" x14ac:dyDescent="0.2">
      <c r="B121" s="9"/>
      <c r="L121" s="9"/>
      <c r="V121" s="9"/>
      <c r="AF121" s="9"/>
    </row>
    <row r="122" spans="2:32" ht="15" x14ac:dyDescent="0.2">
      <c r="B122" s="9"/>
      <c r="L122" s="9"/>
      <c r="V122" s="9"/>
      <c r="AF122" s="9"/>
    </row>
    <row r="123" spans="2:32" ht="15" x14ac:dyDescent="0.2">
      <c r="B123" s="9"/>
      <c r="L123" s="9"/>
      <c r="V123" s="9"/>
      <c r="AF123" s="9"/>
    </row>
    <row r="124" spans="2:32" ht="15" x14ac:dyDescent="0.2">
      <c r="B124" s="9"/>
      <c r="L124" s="9"/>
      <c r="V124" s="9"/>
      <c r="AF124" s="9"/>
    </row>
    <row r="125" spans="2:32" ht="15" x14ac:dyDescent="0.2">
      <c r="B125" s="9"/>
      <c r="L125" s="9"/>
      <c r="V125" s="9"/>
      <c r="AF125" s="9"/>
    </row>
    <row r="126" spans="2:32" ht="15" x14ac:dyDescent="0.2">
      <c r="B126" s="9"/>
      <c r="L126" s="9"/>
      <c r="V126" s="9"/>
      <c r="AF126" s="9"/>
    </row>
    <row r="127" spans="2:32" ht="15" x14ac:dyDescent="0.2">
      <c r="B127" s="9"/>
      <c r="L127" s="9"/>
      <c r="V127" s="9"/>
      <c r="AF127" s="9"/>
    </row>
    <row r="128" spans="2:32" ht="15" x14ac:dyDescent="0.2">
      <c r="B128" s="9"/>
      <c r="L128" s="9"/>
      <c r="V128" s="9"/>
      <c r="AF128" s="9"/>
    </row>
    <row r="129" spans="2:32" ht="15" x14ac:dyDescent="0.2">
      <c r="B129" s="9"/>
      <c r="L129" s="9"/>
      <c r="V129" s="9"/>
      <c r="AF129" s="9"/>
    </row>
    <row r="130" spans="2:32" ht="15" x14ac:dyDescent="0.2">
      <c r="B130" s="9"/>
      <c r="L130" s="9"/>
      <c r="V130" s="9"/>
      <c r="AF130" s="9"/>
    </row>
    <row r="131" spans="2:32" ht="15" x14ac:dyDescent="0.2">
      <c r="B131" s="9"/>
      <c r="L131" s="9"/>
      <c r="V131" s="9"/>
      <c r="AF131" s="9"/>
    </row>
    <row r="132" spans="2:32" ht="15" x14ac:dyDescent="0.2">
      <c r="B132" s="9"/>
      <c r="L132" s="9"/>
      <c r="V132" s="9"/>
      <c r="AF132" s="9"/>
    </row>
    <row r="133" spans="2:32" ht="15" x14ac:dyDescent="0.2">
      <c r="B133" s="9"/>
      <c r="L133" s="9"/>
      <c r="V133" s="9"/>
      <c r="AF133" s="9"/>
    </row>
    <row r="134" spans="2:32" ht="15" x14ac:dyDescent="0.2">
      <c r="B134" s="9"/>
      <c r="L134" s="9"/>
      <c r="V134" s="9"/>
      <c r="AF134" s="9"/>
    </row>
    <row r="135" spans="2:32" ht="15" x14ac:dyDescent="0.2">
      <c r="B135" s="9"/>
      <c r="L135" s="9"/>
      <c r="V135" s="9"/>
      <c r="AF135" s="9"/>
    </row>
    <row r="136" spans="2:32" ht="15" x14ac:dyDescent="0.2">
      <c r="B136" s="9"/>
      <c r="L136" s="9"/>
      <c r="V136" s="9"/>
      <c r="AF136" s="9"/>
    </row>
    <row r="137" spans="2:32" ht="15" x14ac:dyDescent="0.2">
      <c r="B137" s="9"/>
      <c r="L137" s="9"/>
      <c r="V137" s="9"/>
      <c r="AF137" s="9"/>
    </row>
    <row r="138" spans="2:32" ht="15" x14ac:dyDescent="0.2">
      <c r="B138" s="9"/>
      <c r="L138" s="9"/>
      <c r="V138" s="9"/>
      <c r="AF138" s="9"/>
    </row>
    <row r="139" spans="2:32" ht="15" x14ac:dyDescent="0.2">
      <c r="B139" s="9"/>
      <c r="L139" s="9"/>
      <c r="V139" s="9"/>
      <c r="AF139" s="9"/>
    </row>
    <row r="140" spans="2:32" ht="15" x14ac:dyDescent="0.2">
      <c r="B140" s="9"/>
      <c r="L140" s="9"/>
      <c r="V140" s="9"/>
      <c r="AF140" s="9"/>
    </row>
    <row r="141" spans="2:32" ht="15" x14ac:dyDescent="0.2">
      <c r="B141" s="9"/>
      <c r="L141" s="9"/>
      <c r="V141" s="9"/>
      <c r="AF141" s="9"/>
    </row>
    <row r="142" spans="2:32" ht="15" x14ac:dyDescent="0.2">
      <c r="B142" s="9"/>
      <c r="L142" s="9"/>
      <c r="V142" s="9"/>
      <c r="AF142" s="9"/>
    </row>
    <row r="143" spans="2:32" ht="15" x14ac:dyDescent="0.2">
      <c r="B143" s="9"/>
      <c r="L143" s="9"/>
      <c r="V143" s="9"/>
      <c r="AF143" s="9"/>
    </row>
    <row r="144" spans="2:32" ht="15" x14ac:dyDescent="0.2">
      <c r="B144" s="9"/>
      <c r="L144" s="9"/>
      <c r="V144" s="9"/>
      <c r="AF144" s="9"/>
    </row>
    <row r="145" spans="2:32" ht="15" x14ac:dyDescent="0.2">
      <c r="B145" s="9"/>
      <c r="L145" s="9"/>
      <c r="V145" s="9"/>
      <c r="AF145" s="9"/>
    </row>
    <row r="146" spans="2:32" ht="15" x14ac:dyDescent="0.2">
      <c r="B146" s="9"/>
      <c r="L146" s="9"/>
      <c r="V146" s="9"/>
      <c r="AF146" s="9"/>
    </row>
    <row r="147" spans="2:32" ht="15" x14ac:dyDescent="0.2">
      <c r="B147" s="9"/>
      <c r="L147" s="9"/>
      <c r="V147" s="9"/>
      <c r="AF147" s="9"/>
    </row>
    <row r="148" spans="2:32" ht="15" x14ac:dyDescent="0.2">
      <c r="B148" s="9"/>
      <c r="L148" s="9"/>
      <c r="V148" s="9"/>
      <c r="AF148" s="9"/>
    </row>
    <row r="149" spans="2:32" ht="15" x14ac:dyDescent="0.2">
      <c r="B149" s="9"/>
      <c r="L149" s="9"/>
      <c r="V149" s="9"/>
      <c r="AF149" s="9"/>
    </row>
    <row r="150" spans="2:32" ht="15" x14ac:dyDescent="0.2">
      <c r="B150" s="9"/>
      <c r="L150" s="9"/>
      <c r="V150" s="9"/>
      <c r="AF150" s="9"/>
    </row>
    <row r="151" spans="2:32" ht="15" x14ac:dyDescent="0.2">
      <c r="B151" s="9"/>
      <c r="L151" s="9"/>
      <c r="V151" s="9"/>
      <c r="AF151" s="9"/>
    </row>
    <row r="152" spans="2:32" ht="15" x14ac:dyDescent="0.2">
      <c r="B152" s="9"/>
      <c r="L152" s="9"/>
      <c r="V152" s="9"/>
      <c r="AF152" s="9"/>
    </row>
    <row r="153" spans="2:32" ht="15" x14ac:dyDescent="0.2">
      <c r="B153" s="9"/>
      <c r="L153" s="9"/>
      <c r="V153" s="9"/>
      <c r="AF153" s="9"/>
    </row>
    <row r="154" spans="2:32" ht="15" x14ac:dyDescent="0.2">
      <c r="B154" s="9"/>
      <c r="L154" s="9"/>
      <c r="V154" s="9"/>
      <c r="AF154" s="9"/>
    </row>
    <row r="155" spans="2:32" ht="15" x14ac:dyDescent="0.2">
      <c r="B155" s="9"/>
      <c r="L155" s="9"/>
      <c r="V155" s="9"/>
      <c r="AF155" s="9"/>
    </row>
    <row r="156" spans="2:32" ht="15" x14ac:dyDescent="0.2">
      <c r="B156" s="9"/>
      <c r="L156" s="9"/>
      <c r="V156" s="9"/>
      <c r="AF156" s="9"/>
    </row>
    <row r="157" spans="2:32" ht="15" x14ac:dyDescent="0.2">
      <c r="B157" s="9"/>
      <c r="L157" s="9"/>
      <c r="V157" s="9"/>
      <c r="AF157" s="9"/>
    </row>
    <row r="158" spans="2:32" ht="15" x14ac:dyDescent="0.2">
      <c r="B158" s="9"/>
      <c r="L158" s="9"/>
      <c r="V158" s="9"/>
      <c r="AF158" s="9"/>
    </row>
    <row r="159" spans="2:32" ht="15" x14ac:dyDescent="0.2">
      <c r="B159" s="9"/>
      <c r="L159" s="9"/>
      <c r="V159" s="9"/>
      <c r="AF159" s="9"/>
    </row>
    <row r="160" spans="2:32" ht="15" x14ac:dyDescent="0.2">
      <c r="B160" s="9"/>
      <c r="L160" s="9"/>
      <c r="V160" s="9"/>
      <c r="AF160" s="9"/>
    </row>
    <row r="161" spans="2:32" ht="15" x14ac:dyDescent="0.2">
      <c r="B161" s="9"/>
      <c r="L161" s="9"/>
      <c r="V161" s="9"/>
      <c r="AF161" s="9"/>
    </row>
    <row r="162" spans="2:32" ht="15" x14ac:dyDescent="0.2">
      <c r="B162" s="9"/>
      <c r="L162" s="9"/>
      <c r="V162" s="9"/>
      <c r="AF162" s="9"/>
    </row>
    <row r="163" spans="2:32" ht="15" x14ac:dyDescent="0.2">
      <c r="B163" s="9"/>
      <c r="L163" s="9"/>
      <c r="V163" s="9"/>
      <c r="AF163" s="9"/>
    </row>
    <row r="164" spans="2:32" ht="15" x14ac:dyDescent="0.2">
      <c r="B164" s="9"/>
      <c r="L164" s="9"/>
      <c r="V164" s="9"/>
      <c r="AF164" s="9"/>
    </row>
    <row r="165" spans="2:32" ht="15" x14ac:dyDescent="0.2">
      <c r="B165" s="9"/>
      <c r="L165" s="9"/>
      <c r="V165" s="9"/>
      <c r="AF165" s="9"/>
    </row>
    <row r="166" spans="2:32" ht="15" x14ac:dyDescent="0.2">
      <c r="B166" s="9"/>
      <c r="L166" s="9"/>
      <c r="V166" s="9"/>
      <c r="AF166" s="9"/>
    </row>
    <row r="167" spans="2:32" ht="15" x14ac:dyDescent="0.2">
      <c r="B167" s="9"/>
      <c r="L167" s="9"/>
      <c r="V167" s="9"/>
      <c r="AF167" s="9"/>
    </row>
    <row r="168" spans="2:32" ht="15" x14ac:dyDescent="0.2">
      <c r="B168" s="9"/>
      <c r="L168" s="9"/>
      <c r="V168" s="9"/>
      <c r="AF168" s="9"/>
    </row>
    <row r="169" spans="2:32" ht="15" x14ac:dyDescent="0.2">
      <c r="B169" s="9"/>
      <c r="L169" s="9"/>
      <c r="V169" s="9"/>
      <c r="AF169" s="9"/>
    </row>
    <row r="170" spans="2:32" ht="15" x14ac:dyDescent="0.2">
      <c r="B170" s="9"/>
      <c r="L170" s="9"/>
      <c r="V170" s="9"/>
      <c r="AF170" s="9"/>
    </row>
    <row r="171" spans="2:32" ht="15" x14ac:dyDescent="0.2">
      <c r="B171" s="9"/>
      <c r="L171" s="9"/>
      <c r="V171" s="9"/>
      <c r="AF171" s="9"/>
    </row>
    <row r="172" spans="2:32" ht="15" x14ac:dyDescent="0.2">
      <c r="B172" s="9"/>
      <c r="L172" s="9"/>
      <c r="V172" s="9"/>
      <c r="AF172" s="9"/>
    </row>
    <row r="173" spans="2:32" ht="15" x14ac:dyDescent="0.2">
      <c r="B173" s="9"/>
      <c r="L173" s="9"/>
      <c r="V173" s="9"/>
      <c r="AF173" s="9"/>
    </row>
    <row r="174" spans="2:32" ht="15" x14ac:dyDescent="0.2">
      <c r="B174" s="9"/>
      <c r="L174" s="9"/>
      <c r="V174" s="9"/>
      <c r="AF174" s="9"/>
    </row>
    <row r="175" spans="2:32" ht="15" x14ac:dyDescent="0.2">
      <c r="B175" s="9"/>
      <c r="L175" s="9"/>
      <c r="V175" s="9"/>
      <c r="AF175" s="9"/>
    </row>
    <row r="176" spans="2:32" ht="15" x14ac:dyDescent="0.2">
      <c r="B176" s="9"/>
      <c r="L176" s="9"/>
      <c r="V176" s="9"/>
      <c r="AF176" s="9"/>
    </row>
    <row r="177" spans="2:32" ht="15" x14ac:dyDescent="0.2">
      <c r="B177" s="9"/>
      <c r="L177" s="9"/>
      <c r="V177" s="9"/>
      <c r="AF177" s="9"/>
    </row>
    <row r="178" spans="2:32" ht="15" x14ac:dyDescent="0.2">
      <c r="B178" s="9"/>
      <c r="L178" s="9"/>
      <c r="V178" s="9"/>
      <c r="AF178" s="9"/>
    </row>
    <row r="179" spans="2:32" ht="15" x14ac:dyDescent="0.2">
      <c r="B179" s="9"/>
      <c r="L179" s="9"/>
      <c r="V179" s="9"/>
      <c r="AF179" s="9"/>
    </row>
    <row r="180" spans="2:32" ht="15" x14ac:dyDescent="0.2">
      <c r="B180" s="9"/>
      <c r="L180" s="9"/>
      <c r="V180" s="9"/>
      <c r="AF180" s="9"/>
    </row>
    <row r="181" spans="2:32" ht="15" x14ac:dyDescent="0.2">
      <c r="B181" s="9"/>
      <c r="L181" s="9"/>
      <c r="V181" s="9"/>
      <c r="AF181" s="9"/>
    </row>
    <row r="182" spans="2:32" ht="15" x14ac:dyDescent="0.2">
      <c r="B182" s="9"/>
      <c r="L182" s="9"/>
      <c r="V182" s="9"/>
      <c r="AF182" s="9"/>
    </row>
    <row r="183" spans="2:32" ht="15" x14ac:dyDescent="0.2">
      <c r="B183" s="9"/>
      <c r="L183" s="9"/>
      <c r="V183" s="9"/>
      <c r="AF183" s="9"/>
    </row>
    <row r="184" spans="2:32" ht="15" x14ac:dyDescent="0.2">
      <c r="B184" s="9"/>
      <c r="L184" s="9"/>
      <c r="V184" s="9"/>
      <c r="AF184" s="9"/>
    </row>
    <row r="185" spans="2:32" ht="15" x14ac:dyDescent="0.2">
      <c r="B185" s="9"/>
      <c r="L185" s="9"/>
      <c r="V185" s="9"/>
      <c r="AF185" s="9"/>
    </row>
    <row r="186" spans="2:32" ht="15" x14ac:dyDescent="0.2">
      <c r="B186" s="9"/>
      <c r="L186" s="9"/>
      <c r="V186" s="9"/>
      <c r="AF186" s="9"/>
    </row>
    <row r="187" spans="2:32" ht="15" x14ac:dyDescent="0.2">
      <c r="B187" s="9"/>
      <c r="L187" s="9"/>
      <c r="V187" s="9"/>
      <c r="AF187" s="9"/>
    </row>
    <row r="188" spans="2:32" ht="15" x14ac:dyDescent="0.2">
      <c r="B188" s="9"/>
      <c r="L188" s="9"/>
      <c r="V188" s="9"/>
      <c r="AF188" s="9"/>
    </row>
    <row r="189" spans="2:32" ht="15" x14ac:dyDescent="0.2">
      <c r="B189" s="9"/>
      <c r="L189" s="9"/>
      <c r="V189" s="9"/>
      <c r="AF189" s="9"/>
    </row>
    <row r="190" spans="2:32" ht="15" x14ac:dyDescent="0.2">
      <c r="B190" s="9"/>
      <c r="L190" s="9"/>
      <c r="V190" s="9"/>
      <c r="AF190" s="9"/>
    </row>
    <row r="191" spans="2:32" ht="15" x14ac:dyDescent="0.2">
      <c r="B191" s="9"/>
      <c r="L191" s="9"/>
      <c r="V191" s="9"/>
      <c r="AF191" s="9"/>
    </row>
    <row r="192" spans="2:32" ht="15" x14ac:dyDescent="0.2">
      <c r="B192" s="9"/>
      <c r="L192" s="9"/>
      <c r="V192" s="9"/>
      <c r="AF192" s="9"/>
    </row>
    <row r="193" spans="2:32" ht="15" x14ac:dyDescent="0.2">
      <c r="B193" s="9"/>
      <c r="L193" s="9"/>
      <c r="V193" s="9"/>
      <c r="AF193" s="9"/>
    </row>
    <row r="194" spans="2:32" ht="15" x14ac:dyDescent="0.2">
      <c r="B194" s="9"/>
      <c r="L194" s="9"/>
      <c r="V194" s="9"/>
      <c r="AF194" s="9"/>
    </row>
    <row r="195" spans="2:32" ht="15" x14ac:dyDescent="0.2">
      <c r="B195" s="9"/>
      <c r="L195" s="9"/>
      <c r="V195" s="9"/>
      <c r="AF195" s="9"/>
    </row>
    <row r="196" spans="2:32" ht="15" x14ac:dyDescent="0.2">
      <c r="B196" s="9"/>
      <c r="L196" s="9"/>
      <c r="V196" s="9"/>
      <c r="AF196" s="9"/>
    </row>
    <row r="197" spans="2:32" ht="15" x14ac:dyDescent="0.2">
      <c r="B197" s="9"/>
      <c r="L197" s="9"/>
      <c r="V197" s="9"/>
      <c r="AF197" s="9"/>
    </row>
    <row r="198" spans="2:32" ht="15" x14ac:dyDescent="0.2">
      <c r="B198" s="9"/>
      <c r="L198" s="9"/>
      <c r="V198" s="9"/>
      <c r="AF198" s="9"/>
    </row>
    <row r="199" spans="2:32" ht="15" x14ac:dyDescent="0.2">
      <c r="B199" s="9"/>
      <c r="L199" s="9"/>
      <c r="V199" s="9"/>
      <c r="AF199" s="9"/>
    </row>
    <row r="200" spans="2:32" ht="15" x14ac:dyDescent="0.2">
      <c r="B200" s="9"/>
      <c r="L200" s="9"/>
      <c r="V200" s="9"/>
      <c r="AF200" s="9"/>
    </row>
    <row r="201" spans="2:32" ht="15" x14ac:dyDescent="0.2">
      <c r="B201" s="9"/>
      <c r="L201" s="9"/>
      <c r="V201" s="9"/>
      <c r="AF201" s="9"/>
    </row>
    <row r="202" spans="2:32" ht="15" x14ac:dyDescent="0.2">
      <c r="B202" s="9"/>
      <c r="L202" s="9"/>
      <c r="V202" s="9"/>
      <c r="AF202" s="9"/>
    </row>
    <row r="203" spans="2:32" ht="15" x14ac:dyDescent="0.2">
      <c r="B203" s="9"/>
      <c r="L203" s="9"/>
      <c r="V203" s="9"/>
      <c r="AF203" s="9"/>
    </row>
    <row r="204" spans="2:32" ht="15" x14ac:dyDescent="0.2">
      <c r="B204" s="9"/>
      <c r="L204" s="9"/>
      <c r="V204" s="9"/>
      <c r="AF204" s="9"/>
    </row>
    <row r="205" spans="2:32" ht="15" x14ac:dyDescent="0.2">
      <c r="B205" s="9"/>
      <c r="L205" s="9"/>
      <c r="V205" s="9"/>
      <c r="AF205" s="9"/>
    </row>
    <row r="206" spans="2:32" ht="15" x14ac:dyDescent="0.2">
      <c r="B206" s="9"/>
      <c r="L206" s="9"/>
      <c r="V206" s="9"/>
      <c r="AF206" s="9"/>
    </row>
    <row r="207" spans="2:32" ht="15" x14ac:dyDescent="0.2">
      <c r="B207" s="9"/>
      <c r="L207" s="9"/>
      <c r="V207" s="9"/>
      <c r="AF207" s="9"/>
    </row>
    <row r="208" spans="2:32" ht="15" x14ac:dyDescent="0.2">
      <c r="B208" s="9"/>
      <c r="L208" s="9"/>
      <c r="V208" s="9"/>
      <c r="AF208" s="9"/>
    </row>
    <row r="209" spans="2:32" ht="15" x14ac:dyDescent="0.2">
      <c r="B209" s="9"/>
      <c r="L209" s="9"/>
      <c r="V209" s="9"/>
      <c r="AF209" s="9"/>
    </row>
    <row r="210" spans="2:32" ht="15" x14ac:dyDescent="0.2">
      <c r="B210" s="9"/>
      <c r="L210" s="9"/>
      <c r="V210" s="9"/>
      <c r="AF210" s="9"/>
    </row>
    <row r="211" spans="2:32" ht="15" x14ac:dyDescent="0.2">
      <c r="B211" s="9"/>
      <c r="L211" s="9"/>
      <c r="V211" s="9"/>
      <c r="AF211" s="9"/>
    </row>
    <row r="212" spans="2:32" ht="15" x14ac:dyDescent="0.2">
      <c r="B212" s="9"/>
      <c r="L212" s="9"/>
      <c r="V212" s="9"/>
      <c r="AF212" s="9"/>
    </row>
    <row r="213" spans="2:32" ht="15" x14ac:dyDescent="0.2">
      <c r="B213" s="9"/>
      <c r="L213" s="9"/>
      <c r="V213" s="9"/>
      <c r="AF213" s="9"/>
    </row>
    <row r="214" spans="2:32" ht="15" x14ac:dyDescent="0.2">
      <c r="B214" s="9"/>
      <c r="L214" s="9"/>
      <c r="V214" s="9"/>
      <c r="AF214" s="9"/>
    </row>
    <row r="215" spans="2:32" ht="15" x14ac:dyDescent="0.2">
      <c r="B215" s="9"/>
      <c r="L215" s="9"/>
      <c r="V215" s="9"/>
      <c r="AF215" s="9"/>
    </row>
    <row r="216" spans="2:32" ht="15" x14ac:dyDescent="0.2">
      <c r="B216" s="9"/>
      <c r="L216" s="9"/>
      <c r="V216" s="9"/>
      <c r="AF216" s="9"/>
    </row>
    <row r="217" spans="2:32" ht="15" x14ac:dyDescent="0.2">
      <c r="B217" s="9"/>
      <c r="L217" s="9"/>
      <c r="V217" s="9"/>
      <c r="AF217" s="9"/>
    </row>
    <row r="218" spans="2:32" ht="15" x14ac:dyDescent="0.2">
      <c r="B218" s="9"/>
      <c r="L218" s="9"/>
      <c r="V218" s="9"/>
      <c r="AF218" s="9"/>
    </row>
    <row r="219" spans="2:32" ht="15" x14ac:dyDescent="0.2">
      <c r="B219" s="9"/>
      <c r="L219" s="9"/>
      <c r="V219" s="9"/>
      <c r="AF219" s="9"/>
    </row>
    <row r="220" spans="2:32" ht="15" x14ac:dyDescent="0.2">
      <c r="B220" s="9"/>
      <c r="L220" s="9"/>
      <c r="V220" s="9"/>
      <c r="AF220" s="9"/>
    </row>
    <row r="221" spans="2:32" ht="15" x14ac:dyDescent="0.2">
      <c r="B221" s="9"/>
      <c r="L221" s="9"/>
      <c r="V221" s="9"/>
      <c r="AF221" s="9"/>
    </row>
    <row r="222" spans="2:32" ht="15" x14ac:dyDescent="0.2">
      <c r="B222" s="9"/>
      <c r="L222" s="9"/>
      <c r="V222" s="9"/>
      <c r="AF222" s="9"/>
    </row>
    <row r="223" spans="2:32" ht="15" x14ac:dyDescent="0.2">
      <c r="B223" s="9"/>
      <c r="L223" s="9"/>
      <c r="V223" s="9"/>
      <c r="AF223" s="9"/>
    </row>
    <row r="224" spans="2:32" ht="15" x14ac:dyDescent="0.2">
      <c r="B224" s="9"/>
      <c r="L224" s="9"/>
      <c r="V224" s="9"/>
      <c r="AF224" s="9"/>
    </row>
    <row r="225" spans="2:32" ht="15" x14ac:dyDescent="0.2">
      <c r="B225" s="9"/>
      <c r="L225" s="9"/>
      <c r="V225" s="9"/>
      <c r="AF225" s="9"/>
    </row>
    <row r="226" spans="2:32" ht="15" x14ac:dyDescent="0.2">
      <c r="B226" s="9"/>
      <c r="L226" s="9"/>
      <c r="V226" s="9"/>
      <c r="AF226" s="9"/>
    </row>
    <row r="227" spans="2:32" ht="15" x14ac:dyDescent="0.2">
      <c r="B227" s="9"/>
      <c r="L227" s="9"/>
      <c r="V227" s="9"/>
      <c r="AF227" s="9"/>
    </row>
    <row r="228" spans="2:32" ht="15" x14ac:dyDescent="0.2">
      <c r="B228" s="9"/>
      <c r="L228" s="9"/>
      <c r="V228" s="9"/>
      <c r="AF228" s="9"/>
    </row>
    <row r="229" spans="2:32" ht="15" x14ac:dyDescent="0.2">
      <c r="B229" s="9"/>
      <c r="L229" s="9"/>
      <c r="V229" s="9"/>
      <c r="AF229" s="9"/>
    </row>
    <row r="230" spans="2:32" ht="15" x14ac:dyDescent="0.2">
      <c r="B230" s="9"/>
      <c r="L230" s="9"/>
      <c r="V230" s="9"/>
      <c r="AF230" s="9"/>
    </row>
    <row r="231" spans="2:32" ht="15" x14ac:dyDescent="0.2">
      <c r="B231" s="9"/>
      <c r="L231" s="9"/>
      <c r="V231" s="9"/>
      <c r="AF231" s="9"/>
    </row>
    <row r="232" spans="2:32" ht="15" x14ac:dyDescent="0.2">
      <c r="B232" s="9"/>
      <c r="L232" s="9"/>
      <c r="V232" s="9"/>
      <c r="AF232" s="9"/>
    </row>
    <row r="233" spans="2:32" ht="15" x14ac:dyDescent="0.2">
      <c r="B233" s="9"/>
      <c r="L233" s="9"/>
      <c r="V233" s="9"/>
      <c r="AF233" s="9"/>
    </row>
    <row r="234" spans="2:32" ht="15" x14ac:dyDescent="0.2">
      <c r="B234" s="9"/>
      <c r="L234" s="9"/>
      <c r="V234" s="9"/>
      <c r="AF234" s="9"/>
    </row>
    <row r="235" spans="2:32" ht="15" x14ac:dyDescent="0.2">
      <c r="B235" s="9"/>
      <c r="L235" s="9"/>
      <c r="V235" s="9"/>
      <c r="AF235" s="9"/>
    </row>
    <row r="236" spans="2:32" ht="15" x14ac:dyDescent="0.2">
      <c r="B236" s="9"/>
      <c r="L236" s="9"/>
      <c r="V236" s="9"/>
      <c r="AF236" s="9"/>
    </row>
    <row r="237" spans="2:32" ht="15" x14ac:dyDescent="0.2">
      <c r="B237" s="9"/>
      <c r="L237" s="9"/>
      <c r="V237" s="9"/>
      <c r="AF237" s="9"/>
    </row>
    <row r="238" spans="2:32" ht="15" x14ac:dyDescent="0.2">
      <c r="B238" s="9"/>
      <c r="L238" s="9"/>
      <c r="V238" s="9"/>
      <c r="AF238" s="9"/>
    </row>
    <row r="239" spans="2:32" ht="15" x14ac:dyDescent="0.2">
      <c r="B239" s="9"/>
      <c r="L239" s="9"/>
      <c r="V239" s="9"/>
      <c r="AF239" s="9"/>
    </row>
    <row r="240" spans="2:32" ht="15" x14ac:dyDescent="0.2">
      <c r="B240" s="9"/>
      <c r="L240" s="9"/>
      <c r="V240" s="9"/>
      <c r="AF240" s="9"/>
    </row>
    <row r="241" spans="2:32" ht="15" x14ac:dyDescent="0.2">
      <c r="B241" s="9"/>
      <c r="L241" s="9"/>
      <c r="V241" s="9"/>
      <c r="AF241" s="9"/>
    </row>
    <row r="242" spans="2:32" ht="15" x14ac:dyDescent="0.2">
      <c r="B242" s="9"/>
      <c r="L242" s="9"/>
      <c r="V242" s="9"/>
      <c r="AF242" s="9"/>
    </row>
    <row r="243" spans="2:32" ht="15" x14ac:dyDescent="0.2">
      <c r="B243" s="9"/>
      <c r="L243" s="9"/>
      <c r="V243" s="9"/>
      <c r="AF243" s="9"/>
    </row>
    <row r="244" spans="2:32" ht="15" x14ac:dyDescent="0.2">
      <c r="B244" s="9"/>
      <c r="L244" s="9"/>
      <c r="V244" s="9"/>
      <c r="AF244" s="9"/>
    </row>
    <row r="245" spans="2:32" ht="15" x14ac:dyDescent="0.2">
      <c r="B245" s="9"/>
      <c r="L245" s="9"/>
      <c r="V245" s="9"/>
      <c r="AF245" s="9"/>
    </row>
    <row r="246" spans="2:32" ht="15" x14ac:dyDescent="0.2">
      <c r="B246" s="9"/>
      <c r="L246" s="9"/>
      <c r="V246" s="9"/>
      <c r="AF246" s="9"/>
    </row>
    <row r="247" spans="2:32" ht="15" x14ac:dyDescent="0.2">
      <c r="B247" s="9"/>
      <c r="L247" s="9"/>
      <c r="V247" s="9"/>
      <c r="AF247" s="9"/>
    </row>
    <row r="248" spans="2:32" ht="15" x14ac:dyDescent="0.2">
      <c r="B248" s="9"/>
      <c r="L248" s="9"/>
      <c r="V248" s="9"/>
      <c r="AF248" s="9"/>
    </row>
    <row r="249" spans="2:32" ht="15" x14ac:dyDescent="0.2">
      <c r="B249" s="9"/>
      <c r="L249" s="9"/>
      <c r="V249" s="9"/>
      <c r="AF249" s="9"/>
    </row>
    <row r="250" spans="2:32" ht="15" x14ac:dyDescent="0.2">
      <c r="B250" s="9"/>
      <c r="L250" s="9"/>
      <c r="V250" s="9"/>
      <c r="AF250" s="9"/>
    </row>
    <row r="251" spans="2:32" ht="15" x14ac:dyDescent="0.2">
      <c r="B251" s="9"/>
      <c r="L251" s="9"/>
      <c r="V251" s="9"/>
      <c r="AF251" s="9"/>
    </row>
    <row r="252" spans="2:32" ht="15" x14ac:dyDescent="0.2">
      <c r="B252" s="9"/>
      <c r="L252" s="9"/>
      <c r="V252" s="9"/>
      <c r="AF252" s="9"/>
    </row>
    <row r="253" spans="2:32" ht="15" x14ac:dyDescent="0.2">
      <c r="B253" s="9"/>
      <c r="L253" s="9"/>
      <c r="V253" s="9"/>
      <c r="AF253" s="9"/>
    </row>
    <row r="254" spans="2:32" ht="15" x14ac:dyDescent="0.2">
      <c r="B254" s="9"/>
      <c r="L254" s="9"/>
      <c r="V254" s="9"/>
      <c r="AF254" s="9"/>
    </row>
    <row r="255" spans="2:32" ht="15" x14ac:dyDescent="0.2">
      <c r="B255" s="9"/>
      <c r="L255" s="9"/>
      <c r="V255" s="9"/>
      <c r="AF255" s="9"/>
    </row>
    <row r="256" spans="2:32" ht="15" x14ac:dyDescent="0.2">
      <c r="B256" s="9"/>
      <c r="L256" s="9"/>
      <c r="V256" s="9"/>
      <c r="AF256" s="9"/>
    </row>
    <row r="257" spans="2:32" ht="15" x14ac:dyDescent="0.2">
      <c r="B257" s="9"/>
      <c r="L257" s="9"/>
      <c r="V257" s="9"/>
      <c r="AF257" s="9"/>
    </row>
    <row r="258" spans="2:32" ht="15" x14ac:dyDescent="0.2">
      <c r="B258" s="9"/>
      <c r="L258" s="9"/>
      <c r="V258" s="9"/>
      <c r="AF258" s="9"/>
    </row>
    <row r="259" spans="2:32" ht="15" x14ac:dyDescent="0.2">
      <c r="B259" s="9"/>
      <c r="L259" s="9"/>
      <c r="V259" s="9"/>
      <c r="AF259" s="9"/>
    </row>
    <row r="260" spans="2:32" ht="15" x14ac:dyDescent="0.2">
      <c r="B260" s="9"/>
      <c r="L260" s="9"/>
      <c r="V260" s="9"/>
      <c r="AF260" s="9"/>
    </row>
    <row r="261" spans="2:32" ht="15" x14ac:dyDescent="0.2">
      <c r="B261" s="9"/>
      <c r="L261" s="9"/>
      <c r="V261" s="9"/>
      <c r="AF261" s="9"/>
    </row>
    <row r="262" spans="2:32" ht="15" x14ac:dyDescent="0.2">
      <c r="B262" s="9"/>
      <c r="L262" s="9"/>
      <c r="V262" s="9"/>
      <c r="AF262" s="9"/>
    </row>
    <row r="263" spans="2:32" ht="15" x14ac:dyDescent="0.2">
      <c r="B263" s="9"/>
      <c r="L263" s="9"/>
      <c r="V263" s="9"/>
      <c r="AF263" s="9"/>
    </row>
    <row r="264" spans="2:32" ht="15" x14ac:dyDescent="0.2">
      <c r="B264" s="9"/>
      <c r="L264" s="9"/>
      <c r="V264" s="9"/>
      <c r="AF264" s="9"/>
    </row>
    <row r="265" spans="2:32" ht="15" x14ac:dyDescent="0.2">
      <c r="B265" s="9"/>
      <c r="L265" s="9"/>
      <c r="V265" s="9"/>
      <c r="AF265" s="9"/>
    </row>
    <row r="266" spans="2:32" ht="15" x14ac:dyDescent="0.2">
      <c r="B266" s="9"/>
      <c r="L266" s="9"/>
      <c r="V266" s="9"/>
      <c r="AF266" s="9"/>
    </row>
    <row r="267" spans="2:32" ht="15" x14ac:dyDescent="0.2">
      <c r="B267" s="9"/>
      <c r="L267" s="9"/>
      <c r="V267" s="9"/>
      <c r="AF267" s="9"/>
    </row>
    <row r="268" spans="2:32" ht="15" x14ac:dyDescent="0.2">
      <c r="B268" s="9"/>
      <c r="L268" s="9"/>
      <c r="V268" s="9"/>
      <c r="AF268" s="9"/>
    </row>
    <row r="269" spans="2:32" ht="15" x14ac:dyDescent="0.2">
      <c r="B269" s="9"/>
      <c r="L269" s="9"/>
      <c r="V269" s="9"/>
      <c r="AF269" s="9"/>
    </row>
    <row r="270" spans="2:32" ht="15" x14ac:dyDescent="0.2">
      <c r="B270" s="9"/>
      <c r="L270" s="9"/>
      <c r="V270" s="9"/>
      <c r="AF270" s="9"/>
    </row>
    <row r="271" spans="2:32" ht="15" x14ac:dyDescent="0.2">
      <c r="B271" s="9"/>
      <c r="L271" s="9"/>
      <c r="V271" s="9"/>
      <c r="AF271" s="9"/>
    </row>
    <row r="272" spans="2:32" ht="15" x14ac:dyDescent="0.2">
      <c r="B272" s="9"/>
      <c r="L272" s="9"/>
      <c r="V272" s="9"/>
      <c r="AF272" s="9"/>
    </row>
    <row r="273" spans="2:32" ht="15" x14ac:dyDescent="0.2">
      <c r="B273" s="9"/>
      <c r="L273" s="9"/>
      <c r="V273" s="9"/>
      <c r="AF273" s="9"/>
    </row>
    <row r="274" spans="2:32" ht="15" x14ac:dyDescent="0.2">
      <c r="B274" s="9"/>
      <c r="L274" s="9"/>
      <c r="V274" s="9"/>
      <c r="AF274" s="9"/>
    </row>
    <row r="275" spans="2:32" ht="15" x14ac:dyDescent="0.2">
      <c r="B275" s="9"/>
      <c r="L275" s="9"/>
      <c r="V275" s="9"/>
      <c r="AF275" s="9"/>
    </row>
    <row r="276" spans="2:32" ht="15" x14ac:dyDescent="0.2">
      <c r="B276" s="9"/>
      <c r="L276" s="9"/>
      <c r="V276" s="9"/>
      <c r="AF276" s="9"/>
    </row>
    <row r="277" spans="2:32" ht="15" x14ac:dyDescent="0.2">
      <c r="B277" s="9"/>
      <c r="L277" s="9"/>
      <c r="V277" s="9"/>
      <c r="AF277" s="9"/>
    </row>
    <row r="278" spans="2:32" ht="15" x14ac:dyDescent="0.2">
      <c r="B278" s="9"/>
      <c r="L278" s="9"/>
      <c r="V278" s="9"/>
      <c r="AF278" s="9"/>
    </row>
    <row r="279" spans="2:32" ht="15" x14ac:dyDescent="0.2">
      <c r="B279" s="9"/>
      <c r="L279" s="9"/>
      <c r="V279" s="9"/>
      <c r="AF279" s="9"/>
    </row>
    <row r="280" spans="2:32" ht="15" x14ac:dyDescent="0.2">
      <c r="B280" s="9"/>
      <c r="L280" s="9"/>
      <c r="V280" s="9"/>
      <c r="AF280" s="9"/>
    </row>
    <row r="281" spans="2:32" ht="15" x14ac:dyDescent="0.2">
      <c r="B281" s="9"/>
      <c r="L281" s="9"/>
      <c r="V281" s="9"/>
      <c r="AF281" s="9"/>
    </row>
    <row r="282" spans="2:32" ht="15" x14ac:dyDescent="0.2">
      <c r="B282" s="9"/>
      <c r="L282" s="9"/>
      <c r="V282" s="9"/>
      <c r="AF282" s="9"/>
    </row>
    <row r="283" spans="2:32" ht="15" x14ac:dyDescent="0.2">
      <c r="B283" s="9"/>
      <c r="L283" s="9"/>
      <c r="V283" s="9"/>
      <c r="AF283" s="9"/>
    </row>
    <row r="284" spans="2:32" ht="15" x14ac:dyDescent="0.2">
      <c r="B284" s="9"/>
      <c r="L284" s="9"/>
      <c r="V284" s="9"/>
      <c r="AF284" s="9"/>
    </row>
    <row r="285" spans="2:32" ht="15" x14ac:dyDescent="0.2">
      <c r="B285" s="9"/>
      <c r="L285" s="9"/>
      <c r="V285" s="9"/>
      <c r="AF285" s="9"/>
    </row>
    <row r="286" spans="2:32" ht="15" x14ac:dyDescent="0.2">
      <c r="B286" s="9"/>
      <c r="L286" s="9"/>
      <c r="V286" s="9"/>
      <c r="AF286" s="9"/>
    </row>
    <row r="287" spans="2:32" ht="15" x14ac:dyDescent="0.2">
      <c r="B287" s="9"/>
      <c r="L287" s="9"/>
      <c r="V287" s="9"/>
      <c r="AF287" s="9"/>
    </row>
    <row r="288" spans="2:32" ht="15" x14ac:dyDescent="0.2">
      <c r="B288" s="9"/>
      <c r="L288" s="9"/>
      <c r="V288" s="9"/>
      <c r="AF288" s="9"/>
    </row>
    <row r="289" spans="2:32" ht="15" x14ac:dyDescent="0.2">
      <c r="B289" s="9"/>
      <c r="L289" s="9"/>
      <c r="V289" s="9"/>
      <c r="AF289" s="9"/>
    </row>
    <row r="290" spans="2:32" ht="15" x14ac:dyDescent="0.2">
      <c r="B290" s="9"/>
      <c r="L290" s="9"/>
      <c r="V290" s="9"/>
      <c r="AF290" s="9"/>
    </row>
    <row r="291" spans="2:32" ht="15" x14ac:dyDescent="0.2">
      <c r="B291" s="9"/>
      <c r="L291" s="9"/>
      <c r="V291" s="9"/>
      <c r="AF291" s="9"/>
    </row>
    <row r="292" spans="2:32" ht="15" x14ac:dyDescent="0.2">
      <c r="B292" s="9"/>
      <c r="L292" s="9"/>
      <c r="V292" s="9"/>
      <c r="AF292" s="9"/>
    </row>
    <row r="293" spans="2:32" ht="15" x14ac:dyDescent="0.2">
      <c r="B293" s="9"/>
      <c r="L293" s="9"/>
      <c r="V293" s="9"/>
      <c r="AF293" s="9"/>
    </row>
    <row r="294" spans="2:32" ht="15" x14ac:dyDescent="0.2">
      <c r="B294" s="9"/>
      <c r="L294" s="9"/>
      <c r="V294" s="9"/>
      <c r="AF294" s="9"/>
    </row>
    <row r="295" spans="2:32" ht="15" x14ac:dyDescent="0.2">
      <c r="B295" s="9"/>
      <c r="L295" s="9"/>
      <c r="V295" s="9"/>
      <c r="AF295" s="9"/>
    </row>
    <row r="296" spans="2:32" ht="15" x14ac:dyDescent="0.2">
      <c r="B296" s="9"/>
      <c r="L296" s="9"/>
      <c r="V296" s="9"/>
      <c r="AF296" s="9"/>
    </row>
    <row r="297" spans="2:32" ht="15" x14ac:dyDescent="0.2">
      <c r="B297" s="9"/>
      <c r="L297" s="9"/>
      <c r="V297" s="9"/>
      <c r="AF297" s="9"/>
    </row>
    <row r="298" spans="2:32" ht="15" x14ac:dyDescent="0.2">
      <c r="B298" s="9"/>
      <c r="L298" s="9"/>
      <c r="V298" s="9"/>
      <c r="AF298" s="9"/>
    </row>
    <row r="299" spans="2:32" ht="15" x14ac:dyDescent="0.2">
      <c r="B299" s="9"/>
      <c r="L299" s="9"/>
      <c r="V299" s="9"/>
      <c r="AF299" s="9"/>
    </row>
    <row r="300" spans="2:32" ht="15" x14ac:dyDescent="0.2">
      <c r="B300" s="9"/>
      <c r="L300" s="9"/>
      <c r="V300" s="9"/>
      <c r="AF300" s="9"/>
    </row>
    <row r="301" spans="2:32" ht="15" x14ac:dyDescent="0.2">
      <c r="B301" s="9"/>
      <c r="L301" s="9"/>
      <c r="V301" s="9"/>
      <c r="AF301" s="9"/>
    </row>
    <row r="302" spans="2:32" ht="15" x14ac:dyDescent="0.2">
      <c r="B302" s="9"/>
      <c r="L302" s="9"/>
      <c r="V302" s="9"/>
      <c r="AF302" s="9"/>
    </row>
    <row r="303" spans="2:32" ht="15" x14ac:dyDescent="0.2">
      <c r="B303" s="9"/>
      <c r="L303" s="9"/>
      <c r="V303" s="9"/>
      <c r="AF303" s="9"/>
    </row>
    <row r="304" spans="2:32" ht="15" x14ac:dyDescent="0.2">
      <c r="B304" s="9"/>
      <c r="L304" s="9"/>
      <c r="V304" s="9"/>
      <c r="AF304" s="9"/>
    </row>
    <row r="305" spans="2:32" ht="15" x14ac:dyDescent="0.2">
      <c r="B305" s="9"/>
      <c r="L305" s="9"/>
      <c r="V305" s="9"/>
      <c r="AF305" s="9"/>
    </row>
    <row r="306" spans="2:32" ht="15" x14ac:dyDescent="0.2">
      <c r="B306" s="9"/>
      <c r="L306" s="9"/>
      <c r="V306" s="9"/>
      <c r="AF306" s="9"/>
    </row>
    <row r="307" spans="2:32" ht="15" x14ac:dyDescent="0.2">
      <c r="B307" s="9"/>
      <c r="L307" s="9"/>
      <c r="V307" s="9"/>
      <c r="AF307" s="9"/>
    </row>
    <row r="308" spans="2:32" ht="15" x14ac:dyDescent="0.2">
      <c r="B308" s="9"/>
      <c r="L308" s="9"/>
      <c r="V308" s="9"/>
      <c r="AF308" s="9"/>
    </row>
    <row r="309" spans="2:32" ht="15" x14ac:dyDescent="0.2">
      <c r="B309" s="9"/>
      <c r="L309" s="9"/>
      <c r="V309" s="9"/>
      <c r="AF309" s="9"/>
    </row>
    <row r="310" spans="2:32" ht="15" x14ac:dyDescent="0.2">
      <c r="B310" s="9"/>
      <c r="L310" s="9"/>
      <c r="V310" s="9"/>
      <c r="AF310" s="9"/>
    </row>
    <row r="311" spans="2:32" ht="15" x14ac:dyDescent="0.2">
      <c r="B311" s="9"/>
      <c r="L311" s="9"/>
      <c r="V311" s="9"/>
      <c r="AF311" s="9"/>
    </row>
    <row r="312" spans="2:32" ht="15" x14ac:dyDescent="0.2">
      <c r="B312" s="9"/>
      <c r="L312" s="9"/>
      <c r="V312" s="9"/>
      <c r="AF312" s="9"/>
    </row>
    <row r="313" spans="2:32" ht="15" x14ac:dyDescent="0.2">
      <c r="B313" s="9"/>
      <c r="L313" s="9"/>
      <c r="V313" s="9"/>
      <c r="AF313" s="9"/>
    </row>
    <row r="314" spans="2:32" ht="15" x14ac:dyDescent="0.2">
      <c r="B314" s="9"/>
      <c r="L314" s="9"/>
      <c r="V314" s="9"/>
      <c r="AF314" s="9"/>
    </row>
    <row r="315" spans="2:32" ht="15" x14ac:dyDescent="0.2">
      <c r="B315" s="9"/>
      <c r="L315" s="9"/>
      <c r="V315" s="9"/>
      <c r="AF315" s="9"/>
    </row>
    <row r="316" spans="2:32" ht="15" x14ac:dyDescent="0.2">
      <c r="B316" s="9"/>
      <c r="L316" s="9"/>
      <c r="V316" s="9"/>
      <c r="AF316" s="9"/>
    </row>
    <row r="317" spans="2:32" ht="15" x14ac:dyDescent="0.2">
      <c r="B317" s="9"/>
      <c r="L317" s="9"/>
      <c r="V317" s="9"/>
      <c r="AF317" s="9"/>
    </row>
    <row r="318" spans="2:32" ht="15" x14ac:dyDescent="0.2">
      <c r="B318" s="9"/>
      <c r="L318" s="9"/>
      <c r="V318" s="9"/>
      <c r="AF318" s="9"/>
    </row>
    <row r="319" spans="2:32" ht="15" x14ac:dyDescent="0.2">
      <c r="B319" s="9"/>
      <c r="L319" s="9"/>
      <c r="V319" s="9"/>
      <c r="AF319" s="9"/>
    </row>
    <row r="320" spans="2:32" ht="15" x14ac:dyDescent="0.2">
      <c r="B320" s="9"/>
      <c r="L320" s="9"/>
      <c r="V320" s="9"/>
      <c r="AF320" s="9"/>
    </row>
    <row r="321" spans="2:32" ht="15" x14ac:dyDescent="0.2">
      <c r="B321" s="9"/>
      <c r="L321" s="9"/>
      <c r="V321" s="9"/>
      <c r="AF321" s="9"/>
    </row>
    <row r="322" spans="2:32" ht="15" x14ac:dyDescent="0.2">
      <c r="B322" s="9"/>
      <c r="L322" s="9"/>
      <c r="V322" s="9"/>
      <c r="AF322" s="9"/>
    </row>
    <row r="323" spans="2:32" ht="15" x14ac:dyDescent="0.2">
      <c r="B323" s="9"/>
      <c r="L323" s="9"/>
      <c r="V323" s="9"/>
      <c r="AF323" s="9"/>
    </row>
    <row r="324" spans="2:32" ht="15" x14ac:dyDescent="0.2">
      <c r="B324" s="9"/>
      <c r="L324" s="9"/>
      <c r="V324" s="9"/>
      <c r="AF324" s="9"/>
    </row>
    <row r="325" spans="2:32" ht="15" x14ac:dyDescent="0.2">
      <c r="B325" s="9"/>
      <c r="L325" s="9"/>
      <c r="V325" s="9"/>
      <c r="AF325" s="9"/>
    </row>
    <row r="326" spans="2:32" ht="15" x14ac:dyDescent="0.2">
      <c r="B326" s="9"/>
      <c r="L326" s="9"/>
      <c r="V326" s="9"/>
      <c r="AF326" s="9"/>
    </row>
    <row r="327" spans="2:32" ht="15" x14ac:dyDescent="0.2">
      <c r="B327" s="9"/>
      <c r="L327" s="9"/>
      <c r="V327" s="9"/>
      <c r="AF327" s="9"/>
    </row>
    <row r="328" spans="2:32" ht="15" x14ac:dyDescent="0.2">
      <c r="B328" s="9"/>
      <c r="L328" s="9"/>
      <c r="V328" s="9"/>
      <c r="AF328" s="9"/>
    </row>
    <row r="329" spans="2:32" ht="15" x14ac:dyDescent="0.2">
      <c r="B329" s="9"/>
      <c r="L329" s="9"/>
      <c r="V329" s="9"/>
      <c r="AF329" s="9"/>
    </row>
    <row r="330" spans="2:32" ht="15" x14ac:dyDescent="0.2">
      <c r="B330" s="9"/>
      <c r="L330" s="9"/>
      <c r="V330" s="9"/>
      <c r="AF330" s="9"/>
    </row>
    <row r="331" spans="2:32" ht="15" x14ac:dyDescent="0.2">
      <c r="B331" s="9"/>
      <c r="L331" s="9"/>
      <c r="V331" s="9"/>
      <c r="AF331" s="9"/>
    </row>
    <row r="332" spans="2:32" ht="15" x14ac:dyDescent="0.2">
      <c r="B332" s="9"/>
      <c r="L332" s="9"/>
      <c r="V332" s="9"/>
      <c r="AF332" s="9"/>
    </row>
    <row r="333" spans="2:32" ht="15" x14ac:dyDescent="0.2">
      <c r="B333" s="9"/>
      <c r="L333" s="9"/>
      <c r="V333" s="9"/>
      <c r="AF333" s="9"/>
    </row>
    <row r="334" spans="2:32" ht="15" x14ac:dyDescent="0.2">
      <c r="B334" s="9"/>
      <c r="L334" s="9"/>
      <c r="V334" s="9"/>
      <c r="AF334" s="9"/>
    </row>
    <row r="335" spans="2:32" ht="15" x14ac:dyDescent="0.2">
      <c r="B335" s="9"/>
      <c r="L335" s="9"/>
      <c r="V335" s="9"/>
      <c r="AF335" s="9"/>
    </row>
    <row r="336" spans="2:32" ht="15" x14ac:dyDescent="0.2">
      <c r="B336" s="9"/>
      <c r="L336" s="9"/>
      <c r="V336" s="9"/>
      <c r="AF336" s="9"/>
    </row>
    <row r="337" spans="2:32" ht="15" x14ac:dyDescent="0.2">
      <c r="B337" s="9"/>
      <c r="L337" s="9"/>
      <c r="V337" s="9"/>
      <c r="AF337" s="9"/>
    </row>
    <row r="338" spans="2:32" ht="15" x14ac:dyDescent="0.2">
      <c r="B338" s="9"/>
      <c r="L338" s="9"/>
      <c r="V338" s="9"/>
      <c r="AF338" s="9"/>
    </row>
    <row r="339" spans="2:32" ht="15" x14ac:dyDescent="0.2">
      <c r="B339" s="9"/>
      <c r="L339" s="9"/>
      <c r="V339" s="9"/>
      <c r="AF339" s="9"/>
    </row>
    <row r="340" spans="2:32" ht="15" x14ac:dyDescent="0.2">
      <c r="B340" s="9"/>
      <c r="L340" s="9"/>
      <c r="V340" s="9"/>
      <c r="AF340" s="9"/>
    </row>
    <row r="341" spans="2:32" ht="15" x14ac:dyDescent="0.2">
      <c r="B341" s="9"/>
      <c r="L341" s="9"/>
      <c r="V341" s="9"/>
      <c r="AF341" s="9"/>
    </row>
    <row r="342" spans="2:32" ht="15" x14ac:dyDescent="0.2">
      <c r="B342" s="9"/>
      <c r="L342" s="9"/>
      <c r="V342" s="9"/>
      <c r="AF342" s="9"/>
    </row>
    <row r="343" spans="2:32" ht="15" x14ac:dyDescent="0.2">
      <c r="B343" s="9"/>
      <c r="L343" s="9"/>
      <c r="V343" s="9"/>
      <c r="AF343" s="9"/>
    </row>
    <row r="344" spans="2:32" ht="15" x14ac:dyDescent="0.2">
      <c r="B344" s="9"/>
      <c r="L344" s="9"/>
      <c r="V344" s="9"/>
      <c r="AF344" s="9"/>
    </row>
    <row r="345" spans="2:32" ht="15" x14ac:dyDescent="0.2">
      <c r="B345" s="9"/>
      <c r="L345" s="9"/>
      <c r="V345" s="9"/>
      <c r="AF345" s="9"/>
    </row>
    <row r="346" spans="2:32" ht="15" x14ac:dyDescent="0.2">
      <c r="B346" s="9"/>
      <c r="L346" s="9"/>
      <c r="V346" s="9"/>
      <c r="AF346" s="9"/>
    </row>
    <row r="347" spans="2:32" ht="15" x14ac:dyDescent="0.2">
      <c r="B347" s="9"/>
      <c r="L347" s="9"/>
      <c r="V347" s="9"/>
      <c r="AF347" s="9"/>
    </row>
    <row r="348" spans="2:32" ht="15" x14ac:dyDescent="0.2">
      <c r="B348" s="9"/>
      <c r="L348" s="9"/>
      <c r="V348" s="9"/>
      <c r="AF348" s="9"/>
    </row>
    <row r="349" spans="2:32" ht="15" x14ac:dyDescent="0.2">
      <c r="B349" s="9"/>
      <c r="L349" s="9"/>
      <c r="V349" s="9"/>
      <c r="AF349" s="9"/>
    </row>
    <row r="350" spans="2:32" ht="15" x14ac:dyDescent="0.2">
      <c r="B350" s="9"/>
      <c r="L350" s="9"/>
      <c r="V350" s="9"/>
      <c r="AF350" s="9"/>
    </row>
    <row r="351" spans="2:32" ht="15" x14ac:dyDescent="0.2">
      <c r="B351" s="9"/>
      <c r="L351" s="9"/>
      <c r="V351" s="9"/>
      <c r="AF351" s="9"/>
    </row>
    <row r="352" spans="2:32" ht="15" x14ac:dyDescent="0.2">
      <c r="B352" s="9"/>
      <c r="L352" s="9"/>
      <c r="V352" s="9"/>
      <c r="AF352" s="9"/>
    </row>
    <row r="353" spans="2:32" ht="15" x14ac:dyDescent="0.2">
      <c r="B353" s="9"/>
      <c r="L353" s="9"/>
      <c r="V353" s="9"/>
      <c r="AF353" s="9"/>
    </row>
    <row r="354" spans="2:32" ht="15" x14ac:dyDescent="0.2">
      <c r="B354" s="9"/>
      <c r="L354" s="9"/>
      <c r="V354" s="9"/>
      <c r="AF354" s="9"/>
    </row>
    <row r="355" spans="2:32" ht="15" x14ac:dyDescent="0.2">
      <c r="B355" s="9"/>
      <c r="L355" s="9"/>
      <c r="V355" s="9"/>
      <c r="AF355" s="9"/>
    </row>
    <row r="356" spans="2:32" ht="15" x14ac:dyDescent="0.2">
      <c r="B356" s="9"/>
      <c r="L356" s="9"/>
      <c r="V356" s="9"/>
      <c r="AF356" s="9"/>
    </row>
    <row r="357" spans="2:32" ht="15" x14ac:dyDescent="0.2">
      <c r="B357" s="9"/>
      <c r="L357" s="9"/>
      <c r="V357" s="9"/>
      <c r="AF357" s="9"/>
    </row>
    <row r="358" spans="2:32" ht="15" x14ac:dyDescent="0.2">
      <c r="B358" s="9"/>
      <c r="L358" s="9"/>
      <c r="V358" s="9"/>
      <c r="AF358" s="9"/>
    </row>
    <row r="359" spans="2:32" ht="15" x14ac:dyDescent="0.2">
      <c r="B359" s="9"/>
      <c r="L359" s="9"/>
      <c r="V359" s="9"/>
      <c r="AF359" s="9"/>
    </row>
    <row r="360" spans="2:32" ht="15" x14ac:dyDescent="0.2">
      <c r="B360" s="9"/>
      <c r="L360" s="9"/>
      <c r="V360" s="9"/>
      <c r="AF360" s="9"/>
    </row>
    <row r="361" spans="2:32" ht="15" x14ac:dyDescent="0.2">
      <c r="B361" s="9"/>
      <c r="L361" s="9"/>
      <c r="V361" s="9"/>
      <c r="AF361" s="9"/>
    </row>
    <row r="362" spans="2:32" ht="15" x14ac:dyDescent="0.2">
      <c r="B362" s="9"/>
      <c r="L362" s="9"/>
      <c r="V362" s="9"/>
      <c r="AF362" s="9"/>
    </row>
    <row r="363" spans="2:32" ht="15" x14ac:dyDescent="0.2">
      <c r="B363" s="9"/>
      <c r="L363" s="9"/>
      <c r="V363" s="9"/>
      <c r="AF363" s="9"/>
    </row>
    <row r="364" spans="2:32" ht="15" x14ac:dyDescent="0.2">
      <c r="B364" s="9"/>
      <c r="L364" s="9"/>
      <c r="V364" s="9"/>
      <c r="AF364" s="9"/>
    </row>
    <row r="365" spans="2:32" ht="15" x14ac:dyDescent="0.2">
      <c r="B365" s="9"/>
      <c r="L365" s="9"/>
      <c r="V365" s="9"/>
      <c r="AF365" s="9"/>
    </row>
    <row r="366" spans="2:32" ht="15" x14ac:dyDescent="0.2">
      <c r="B366" s="9"/>
      <c r="L366" s="9"/>
      <c r="V366" s="9"/>
      <c r="AF366" s="9"/>
    </row>
    <row r="367" spans="2:32" ht="15" x14ac:dyDescent="0.2">
      <c r="B367" s="9"/>
      <c r="L367" s="9"/>
      <c r="V367" s="9"/>
      <c r="AF367" s="9"/>
    </row>
    <row r="368" spans="2:32" ht="15" x14ac:dyDescent="0.2">
      <c r="B368" s="9"/>
      <c r="L368" s="9"/>
      <c r="V368" s="9"/>
      <c r="AF368" s="9"/>
    </row>
    <row r="369" spans="2:32" ht="15" x14ac:dyDescent="0.2">
      <c r="B369" s="9"/>
      <c r="L369" s="9"/>
      <c r="V369" s="9"/>
      <c r="AF369" s="9"/>
    </row>
    <row r="370" spans="2:32" ht="15" x14ac:dyDescent="0.2">
      <c r="B370" s="9"/>
      <c r="L370" s="9"/>
      <c r="V370" s="9"/>
      <c r="AF370" s="9"/>
    </row>
    <row r="371" spans="2:32" ht="15" x14ac:dyDescent="0.2">
      <c r="B371" s="9"/>
      <c r="L371" s="9"/>
      <c r="V371" s="9"/>
      <c r="AF371" s="9"/>
    </row>
    <row r="372" spans="2:32" ht="15" x14ac:dyDescent="0.2">
      <c r="B372" s="9"/>
      <c r="L372" s="9"/>
      <c r="V372" s="9"/>
      <c r="AF372" s="9"/>
    </row>
    <row r="373" spans="2:32" ht="15" x14ac:dyDescent="0.2">
      <c r="B373" s="9"/>
      <c r="L373" s="9"/>
      <c r="V373" s="9"/>
      <c r="AF373" s="9"/>
    </row>
    <row r="374" spans="2:32" ht="15" x14ac:dyDescent="0.2">
      <c r="B374" s="9"/>
      <c r="L374" s="9"/>
      <c r="V374" s="9"/>
      <c r="AF374" s="9"/>
    </row>
    <row r="375" spans="2:32" ht="15" x14ac:dyDescent="0.2">
      <c r="B375" s="9"/>
      <c r="L375" s="9"/>
      <c r="V375" s="9"/>
      <c r="AF375" s="9"/>
    </row>
    <row r="376" spans="2:32" ht="15" x14ac:dyDescent="0.2">
      <c r="B376" s="9"/>
      <c r="L376" s="9"/>
      <c r="V376" s="9"/>
      <c r="AF376" s="9"/>
    </row>
    <row r="377" spans="2:32" ht="15" x14ac:dyDescent="0.2">
      <c r="B377" s="9"/>
      <c r="L377" s="9"/>
      <c r="V377" s="9"/>
      <c r="AF377" s="9"/>
    </row>
    <row r="378" spans="2:32" ht="15" x14ac:dyDescent="0.2">
      <c r="B378" s="9"/>
      <c r="L378" s="9"/>
      <c r="V378" s="9"/>
      <c r="AF378" s="9"/>
    </row>
    <row r="379" spans="2:32" ht="15" x14ac:dyDescent="0.2">
      <c r="B379" s="9"/>
      <c r="L379" s="9"/>
      <c r="V379" s="9"/>
      <c r="AF379" s="9"/>
    </row>
    <row r="380" spans="2:32" ht="15" x14ac:dyDescent="0.2">
      <c r="B380" s="9"/>
      <c r="L380" s="9"/>
      <c r="V380" s="9"/>
      <c r="AF380" s="9"/>
    </row>
    <row r="381" spans="2:32" ht="15" x14ac:dyDescent="0.2">
      <c r="B381" s="9"/>
      <c r="L381" s="9"/>
      <c r="V381" s="9"/>
      <c r="AF381" s="9"/>
    </row>
    <row r="382" spans="2:32" ht="15" x14ac:dyDescent="0.2">
      <c r="B382" s="9"/>
      <c r="L382" s="9"/>
      <c r="V382" s="9"/>
      <c r="AF382" s="9"/>
    </row>
    <row r="383" spans="2:32" ht="15" x14ac:dyDescent="0.2">
      <c r="B383" s="9"/>
      <c r="L383" s="9"/>
      <c r="V383" s="9"/>
      <c r="AF383" s="9"/>
    </row>
    <row r="384" spans="2:32" ht="15" x14ac:dyDescent="0.2">
      <c r="B384" s="9"/>
      <c r="L384" s="9"/>
      <c r="V384" s="9"/>
      <c r="AF384" s="9"/>
    </row>
    <row r="385" spans="2:32" ht="15" x14ac:dyDescent="0.2">
      <c r="B385" s="9"/>
      <c r="L385" s="9"/>
      <c r="V385" s="9"/>
      <c r="AF385" s="9"/>
    </row>
    <row r="386" spans="2:32" ht="15" x14ac:dyDescent="0.2">
      <c r="B386" s="9"/>
      <c r="L386" s="9"/>
      <c r="V386" s="9"/>
      <c r="AF386" s="9"/>
    </row>
    <row r="387" spans="2:32" ht="15" x14ac:dyDescent="0.2">
      <c r="B387" s="9"/>
      <c r="L387" s="9"/>
      <c r="V387" s="9"/>
      <c r="AF387" s="9"/>
    </row>
    <row r="388" spans="2:32" ht="15" x14ac:dyDescent="0.2">
      <c r="B388" s="9"/>
      <c r="L388" s="9"/>
      <c r="V388" s="9"/>
      <c r="AF388" s="9"/>
    </row>
    <row r="389" spans="2:32" ht="15" x14ac:dyDescent="0.2">
      <c r="B389" s="9"/>
      <c r="L389" s="9"/>
      <c r="V389" s="9"/>
      <c r="AF389" s="9"/>
    </row>
    <row r="390" spans="2:32" ht="15" x14ac:dyDescent="0.2">
      <c r="B390" s="9"/>
      <c r="L390" s="9"/>
      <c r="V390" s="9"/>
      <c r="AF390" s="9"/>
    </row>
    <row r="391" spans="2:32" ht="15" x14ac:dyDescent="0.2">
      <c r="B391" s="9"/>
      <c r="L391" s="9"/>
      <c r="V391" s="9"/>
      <c r="AF391" s="9"/>
    </row>
    <row r="392" spans="2:32" ht="15" x14ac:dyDescent="0.2">
      <c r="B392" s="9"/>
      <c r="L392" s="9"/>
      <c r="V392" s="9"/>
      <c r="AF392" s="9"/>
    </row>
    <row r="393" spans="2:32" ht="15" x14ac:dyDescent="0.2">
      <c r="B393" s="9"/>
      <c r="L393" s="9"/>
      <c r="V393" s="9"/>
      <c r="AF393" s="9"/>
    </row>
    <row r="394" spans="2:32" ht="15" x14ac:dyDescent="0.2">
      <c r="B394" s="9"/>
      <c r="L394" s="9"/>
      <c r="V394" s="9"/>
      <c r="AF394" s="9"/>
    </row>
    <row r="395" spans="2:32" ht="15" x14ac:dyDescent="0.2">
      <c r="B395" s="9"/>
      <c r="L395" s="9"/>
      <c r="V395" s="9"/>
      <c r="AF395" s="9"/>
    </row>
    <row r="396" spans="2:32" ht="15" x14ac:dyDescent="0.2">
      <c r="B396" s="9"/>
      <c r="L396" s="9"/>
      <c r="V396" s="9"/>
      <c r="AF396" s="9"/>
    </row>
    <row r="397" spans="2:32" ht="15" x14ac:dyDescent="0.2">
      <c r="B397" s="9"/>
      <c r="L397" s="9"/>
      <c r="V397" s="9"/>
      <c r="AF397" s="9"/>
    </row>
    <row r="398" spans="2:32" ht="15" x14ac:dyDescent="0.2">
      <c r="B398" s="9"/>
      <c r="L398" s="9"/>
      <c r="V398" s="9"/>
      <c r="AF398" s="9"/>
    </row>
    <row r="399" spans="2:32" ht="15" x14ac:dyDescent="0.2">
      <c r="B399" s="9"/>
      <c r="L399" s="9"/>
      <c r="V399" s="9"/>
      <c r="AF399" s="9"/>
    </row>
    <row r="400" spans="2:32" ht="15" x14ac:dyDescent="0.2">
      <c r="B400" s="9"/>
      <c r="L400" s="9"/>
      <c r="V400" s="9"/>
      <c r="AF400" s="9"/>
    </row>
    <row r="401" spans="2:32" ht="15" x14ac:dyDescent="0.2">
      <c r="B401" s="9"/>
      <c r="L401" s="9"/>
      <c r="V401" s="9"/>
      <c r="AF401" s="9"/>
    </row>
    <row r="402" spans="2:32" ht="15" x14ac:dyDescent="0.2">
      <c r="B402" s="9"/>
      <c r="L402" s="9"/>
      <c r="V402" s="9"/>
      <c r="AF402" s="9"/>
    </row>
    <row r="403" spans="2:32" ht="15" x14ac:dyDescent="0.2">
      <c r="B403" s="9"/>
      <c r="L403" s="9"/>
      <c r="V403" s="9"/>
      <c r="AF403" s="9"/>
    </row>
    <row r="404" spans="2:32" ht="15" x14ac:dyDescent="0.2">
      <c r="B404" s="9"/>
      <c r="L404" s="9"/>
      <c r="V404" s="9"/>
      <c r="AF404" s="9"/>
    </row>
    <row r="405" spans="2:32" ht="15" x14ac:dyDescent="0.2">
      <c r="B405" s="9"/>
      <c r="L405" s="9"/>
      <c r="V405" s="9"/>
      <c r="AF405" s="9"/>
    </row>
    <row r="406" spans="2:32" ht="15" x14ac:dyDescent="0.2">
      <c r="B406" s="9"/>
      <c r="L406" s="9"/>
      <c r="V406" s="9"/>
      <c r="AF406" s="9"/>
    </row>
    <row r="407" spans="2:32" ht="15" x14ac:dyDescent="0.2">
      <c r="B407" s="9"/>
      <c r="L407" s="9"/>
      <c r="V407" s="9"/>
      <c r="AF407" s="9"/>
    </row>
    <row r="408" spans="2:32" ht="15" x14ac:dyDescent="0.2">
      <c r="B408" s="9"/>
      <c r="L408" s="9"/>
      <c r="V408" s="9"/>
      <c r="AF408" s="9"/>
    </row>
    <row r="409" spans="2:32" ht="15" x14ac:dyDescent="0.2">
      <c r="B409" s="9"/>
      <c r="L409" s="9"/>
      <c r="V409" s="9"/>
      <c r="AF409" s="9"/>
    </row>
    <row r="410" spans="2:32" ht="15" x14ac:dyDescent="0.2">
      <c r="B410" s="9"/>
      <c r="L410" s="9"/>
      <c r="V410" s="9"/>
      <c r="AF410" s="9"/>
    </row>
    <row r="411" spans="2:32" ht="15" x14ac:dyDescent="0.2">
      <c r="B411" s="9"/>
      <c r="L411" s="9"/>
      <c r="V411" s="9"/>
      <c r="AF411" s="9"/>
    </row>
    <row r="412" spans="2:32" ht="15" x14ac:dyDescent="0.2">
      <c r="B412" s="9"/>
      <c r="L412" s="9"/>
      <c r="V412" s="9"/>
      <c r="AF412" s="9"/>
    </row>
    <row r="413" spans="2:32" ht="15" x14ac:dyDescent="0.2">
      <c r="B413" s="9"/>
      <c r="L413" s="9"/>
      <c r="V413" s="9"/>
      <c r="AF413" s="9"/>
    </row>
    <row r="414" spans="2:32" ht="15" x14ac:dyDescent="0.2">
      <c r="B414" s="9"/>
      <c r="L414" s="9"/>
      <c r="V414" s="9"/>
      <c r="AF414" s="9"/>
    </row>
    <row r="415" spans="2:32" ht="15" x14ac:dyDescent="0.2">
      <c r="B415" s="9"/>
      <c r="L415" s="9"/>
      <c r="V415" s="9"/>
      <c r="AF415" s="9"/>
    </row>
    <row r="416" spans="2:32" ht="15" x14ac:dyDescent="0.2">
      <c r="B416" s="9"/>
      <c r="L416" s="9"/>
      <c r="V416" s="9"/>
      <c r="AF416" s="9"/>
    </row>
    <row r="417" spans="2:32" ht="15" x14ac:dyDescent="0.2">
      <c r="B417" s="9"/>
      <c r="L417" s="9"/>
      <c r="V417" s="9"/>
      <c r="AF417" s="9"/>
    </row>
    <row r="418" spans="2:32" ht="15" x14ac:dyDescent="0.2">
      <c r="B418" s="9"/>
      <c r="L418" s="9"/>
      <c r="V418" s="9"/>
      <c r="AF418" s="9"/>
    </row>
    <row r="419" spans="2:32" ht="15" x14ac:dyDescent="0.2">
      <c r="B419" s="9"/>
      <c r="L419" s="9"/>
      <c r="V419" s="9"/>
      <c r="AF419" s="9"/>
    </row>
    <row r="420" spans="2:32" ht="15" x14ac:dyDescent="0.2">
      <c r="B420" s="9"/>
      <c r="L420" s="9"/>
      <c r="V420" s="9"/>
      <c r="AF420" s="9"/>
    </row>
    <row r="421" spans="2:32" ht="15" x14ac:dyDescent="0.2">
      <c r="B421" s="9"/>
      <c r="L421" s="9"/>
      <c r="V421" s="9"/>
      <c r="AF421" s="9"/>
    </row>
    <row r="422" spans="2:32" ht="15" x14ac:dyDescent="0.2">
      <c r="B422" s="9"/>
      <c r="L422" s="9"/>
      <c r="V422" s="9"/>
      <c r="AF422" s="9"/>
    </row>
    <row r="423" spans="2:32" ht="15" x14ac:dyDescent="0.2">
      <c r="B423" s="9"/>
      <c r="L423" s="9"/>
      <c r="V423" s="9"/>
      <c r="AF423" s="9"/>
    </row>
    <row r="424" spans="2:32" ht="15" x14ac:dyDescent="0.2">
      <c r="B424" s="9"/>
      <c r="L424" s="9"/>
      <c r="V424" s="9"/>
      <c r="AF424" s="9"/>
    </row>
    <row r="425" spans="2:32" ht="15" x14ac:dyDescent="0.2">
      <c r="B425" s="9"/>
      <c r="L425" s="9"/>
      <c r="V425" s="9"/>
      <c r="AF425" s="9"/>
    </row>
    <row r="426" spans="2:32" ht="15" x14ac:dyDescent="0.2">
      <c r="B426" s="9"/>
      <c r="L426" s="9"/>
      <c r="V426" s="9"/>
      <c r="AF426" s="9"/>
    </row>
    <row r="427" spans="2:32" ht="15" x14ac:dyDescent="0.2">
      <c r="B427" s="9"/>
      <c r="L427" s="9"/>
      <c r="V427" s="9"/>
      <c r="AF427" s="9"/>
    </row>
    <row r="428" spans="2:32" ht="15" x14ac:dyDescent="0.2">
      <c r="B428" s="9"/>
      <c r="L428" s="9"/>
      <c r="V428" s="9"/>
      <c r="AF428" s="9"/>
    </row>
    <row r="429" spans="2:32" ht="15" x14ac:dyDescent="0.2">
      <c r="B429" s="9"/>
      <c r="L429" s="9"/>
      <c r="V429" s="9"/>
      <c r="AF429" s="9"/>
    </row>
    <row r="430" spans="2:32" ht="15" x14ac:dyDescent="0.2">
      <c r="B430" s="9"/>
      <c r="L430" s="9"/>
      <c r="V430" s="9"/>
      <c r="AF430" s="9"/>
    </row>
    <row r="431" spans="2:32" ht="15" x14ac:dyDescent="0.2">
      <c r="B431" s="9"/>
      <c r="L431" s="9"/>
      <c r="V431" s="9"/>
      <c r="AF431" s="9"/>
    </row>
    <row r="432" spans="2:32" ht="15" x14ac:dyDescent="0.2">
      <c r="B432" s="9"/>
      <c r="L432" s="9"/>
      <c r="V432" s="9"/>
      <c r="AF432" s="9"/>
    </row>
    <row r="433" spans="2:32" ht="15" x14ac:dyDescent="0.2">
      <c r="B433" s="9"/>
      <c r="L433" s="9"/>
      <c r="V433" s="9"/>
      <c r="AF433" s="9"/>
    </row>
    <row r="434" spans="2:32" ht="15" x14ac:dyDescent="0.2">
      <c r="B434" s="9"/>
      <c r="L434" s="9"/>
      <c r="V434" s="9"/>
      <c r="AF434" s="9"/>
    </row>
    <row r="435" spans="2:32" ht="15" x14ac:dyDescent="0.2">
      <c r="B435" s="9"/>
      <c r="L435" s="9"/>
      <c r="V435" s="9"/>
      <c r="AF435" s="9"/>
    </row>
    <row r="436" spans="2:32" ht="15" x14ac:dyDescent="0.2">
      <c r="B436" s="9"/>
      <c r="L436" s="9"/>
      <c r="V436" s="9"/>
      <c r="AF436" s="9"/>
    </row>
    <row r="437" spans="2:32" ht="15" x14ac:dyDescent="0.2">
      <c r="B437" s="9"/>
      <c r="L437" s="9"/>
      <c r="V437" s="9"/>
      <c r="AF437" s="9"/>
    </row>
    <row r="438" spans="2:32" ht="15" x14ac:dyDescent="0.2">
      <c r="B438" s="9"/>
      <c r="L438" s="9"/>
      <c r="V438" s="9"/>
      <c r="AF438" s="9"/>
    </row>
    <row r="439" spans="2:32" ht="15" x14ac:dyDescent="0.2">
      <c r="B439" s="9"/>
      <c r="L439" s="9"/>
      <c r="V439" s="9"/>
      <c r="AF439" s="9"/>
    </row>
    <row r="440" spans="2:32" ht="15" x14ac:dyDescent="0.2">
      <c r="B440" s="9"/>
      <c r="L440" s="9"/>
      <c r="V440" s="9"/>
      <c r="AF440" s="9"/>
    </row>
    <row r="441" spans="2:32" ht="15" x14ac:dyDescent="0.2">
      <c r="B441" s="9"/>
      <c r="L441" s="9"/>
      <c r="V441" s="9"/>
      <c r="AF441" s="9"/>
    </row>
    <row r="442" spans="2:32" ht="15" x14ac:dyDescent="0.2">
      <c r="B442" s="9"/>
      <c r="L442" s="9"/>
      <c r="V442" s="9"/>
      <c r="AF442" s="9"/>
    </row>
    <row r="443" spans="2:32" ht="15" x14ac:dyDescent="0.2">
      <c r="B443" s="9"/>
      <c r="L443" s="9"/>
      <c r="V443" s="9"/>
      <c r="AF443" s="9"/>
    </row>
    <row r="444" spans="2:32" ht="15" x14ac:dyDescent="0.2">
      <c r="B444" s="9"/>
      <c r="L444" s="9"/>
      <c r="V444" s="9"/>
      <c r="AF444" s="9"/>
    </row>
    <row r="445" spans="2:32" ht="15" x14ac:dyDescent="0.2">
      <c r="B445" s="9"/>
      <c r="L445" s="9"/>
      <c r="V445" s="9"/>
      <c r="AF445" s="9"/>
    </row>
    <row r="446" spans="2:32" ht="15" x14ac:dyDescent="0.2">
      <c r="B446" s="9"/>
      <c r="L446" s="9"/>
      <c r="V446" s="9"/>
      <c r="AF446" s="9"/>
    </row>
    <row r="447" spans="2:32" ht="15" x14ac:dyDescent="0.2">
      <c r="B447" s="9"/>
      <c r="L447" s="9"/>
      <c r="V447" s="9"/>
      <c r="AF447" s="9"/>
    </row>
    <row r="448" spans="2:32" ht="15" x14ac:dyDescent="0.2">
      <c r="B448" s="9"/>
      <c r="L448" s="9"/>
      <c r="V448" s="9"/>
      <c r="AF448" s="9"/>
    </row>
    <row r="449" spans="2:32" ht="15" x14ac:dyDescent="0.2">
      <c r="B449" s="9"/>
      <c r="L449" s="9"/>
      <c r="V449" s="9"/>
      <c r="AF449" s="9"/>
    </row>
    <row r="450" spans="2:32" ht="15" x14ac:dyDescent="0.2">
      <c r="B450" s="9"/>
      <c r="L450" s="9"/>
      <c r="V450" s="9"/>
      <c r="AF450" s="9"/>
    </row>
    <row r="451" spans="2:32" ht="15" x14ac:dyDescent="0.2">
      <c r="B451" s="9"/>
      <c r="L451" s="9"/>
      <c r="V451" s="9"/>
      <c r="AF451" s="9"/>
    </row>
    <row r="452" spans="2:32" ht="15" x14ac:dyDescent="0.2">
      <c r="B452" s="9"/>
      <c r="L452" s="9"/>
      <c r="V452" s="9"/>
      <c r="AF452" s="9"/>
    </row>
    <row r="453" spans="2:32" ht="15" x14ac:dyDescent="0.2">
      <c r="B453" s="9"/>
      <c r="L453" s="9"/>
      <c r="V453" s="9"/>
      <c r="AF453" s="9"/>
    </row>
    <row r="454" spans="2:32" ht="15" x14ac:dyDescent="0.2">
      <c r="B454" s="9"/>
      <c r="L454" s="9"/>
      <c r="V454" s="9"/>
      <c r="AF454" s="9"/>
    </row>
    <row r="455" spans="2:32" ht="15" x14ac:dyDescent="0.2">
      <c r="B455" s="9"/>
      <c r="L455" s="9"/>
      <c r="V455" s="9"/>
      <c r="AF455" s="9"/>
    </row>
    <row r="456" spans="2:32" ht="15" x14ac:dyDescent="0.2">
      <c r="B456" s="9"/>
      <c r="L456" s="9"/>
      <c r="V456" s="9"/>
      <c r="AF456" s="9"/>
    </row>
    <row r="457" spans="2:32" ht="15" x14ac:dyDescent="0.2">
      <c r="B457" s="9"/>
      <c r="L457" s="9"/>
      <c r="V457" s="9"/>
      <c r="AF457" s="9"/>
    </row>
    <row r="458" spans="2:32" ht="15" x14ac:dyDescent="0.2">
      <c r="B458" s="9"/>
      <c r="L458" s="9"/>
      <c r="V458" s="9"/>
      <c r="AF458" s="9"/>
    </row>
    <row r="459" spans="2:32" ht="15" x14ac:dyDescent="0.2">
      <c r="B459" s="9"/>
      <c r="L459" s="9"/>
      <c r="V459" s="9"/>
      <c r="AF459" s="9"/>
    </row>
    <row r="460" spans="2:32" ht="15" x14ac:dyDescent="0.2">
      <c r="B460" s="9"/>
      <c r="L460" s="9"/>
      <c r="V460" s="9"/>
      <c r="AF460" s="9"/>
    </row>
    <row r="461" spans="2:32" ht="15" x14ac:dyDescent="0.2">
      <c r="B461" s="9"/>
      <c r="L461" s="9"/>
      <c r="V461" s="9"/>
      <c r="AF461" s="9"/>
    </row>
    <row r="462" spans="2:32" ht="15" x14ac:dyDescent="0.2">
      <c r="B462" s="9"/>
      <c r="L462" s="9"/>
      <c r="V462" s="9"/>
      <c r="AF462" s="9"/>
    </row>
    <row r="463" spans="2:32" ht="15" x14ac:dyDescent="0.2">
      <c r="B463" s="9"/>
      <c r="L463" s="9"/>
      <c r="V463" s="9"/>
      <c r="AF463" s="9"/>
    </row>
    <row r="464" spans="2:32" ht="15" x14ac:dyDescent="0.2">
      <c r="B464" s="9"/>
      <c r="L464" s="9"/>
      <c r="V464" s="9"/>
      <c r="AF464" s="9"/>
    </row>
    <row r="465" spans="2:32" ht="15" x14ac:dyDescent="0.2">
      <c r="B465" s="9"/>
      <c r="L465" s="9"/>
      <c r="V465" s="9"/>
      <c r="AF465" s="9"/>
    </row>
    <row r="466" spans="2:32" ht="15" x14ac:dyDescent="0.2">
      <c r="B466" s="9"/>
      <c r="L466" s="9"/>
      <c r="V466" s="9"/>
      <c r="AF466" s="9"/>
    </row>
    <row r="467" spans="2:32" ht="15" x14ac:dyDescent="0.2">
      <c r="B467" s="9"/>
      <c r="L467" s="9"/>
      <c r="V467" s="9"/>
      <c r="AF467" s="9"/>
    </row>
    <row r="468" spans="2:32" ht="15" x14ac:dyDescent="0.2">
      <c r="B468" s="9"/>
      <c r="L468" s="9"/>
      <c r="V468" s="9"/>
      <c r="AF468" s="9"/>
    </row>
    <row r="469" spans="2:32" ht="15" x14ac:dyDescent="0.2">
      <c r="B469" s="9"/>
      <c r="L469" s="9"/>
      <c r="V469" s="9"/>
      <c r="AF469" s="9"/>
    </row>
    <row r="470" spans="2:32" ht="15" x14ac:dyDescent="0.2">
      <c r="B470" s="9"/>
      <c r="L470" s="9"/>
      <c r="V470" s="9"/>
      <c r="AF470" s="9"/>
    </row>
    <row r="471" spans="2:32" ht="15" x14ac:dyDescent="0.2">
      <c r="B471" s="9"/>
      <c r="L471" s="9"/>
      <c r="V471" s="9"/>
      <c r="AF471" s="9"/>
    </row>
    <row r="472" spans="2:32" ht="15" x14ac:dyDescent="0.2">
      <c r="B472" s="9"/>
      <c r="L472" s="9"/>
      <c r="V472" s="9"/>
      <c r="AF472" s="9"/>
    </row>
    <row r="473" spans="2:32" ht="15" x14ac:dyDescent="0.2">
      <c r="B473" s="9"/>
      <c r="L473" s="9"/>
      <c r="V473" s="9"/>
      <c r="AF473" s="9"/>
    </row>
    <row r="474" spans="2:32" ht="15" x14ac:dyDescent="0.2">
      <c r="B474" s="9"/>
      <c r="L474" s="9"/>
      <c r="V474" s="9"/>
      <c r="AF474" s="9"/>
    </row>
    <row r="475" spans="2:32" ht="15" x14ac:dyDescent="0.2">
      <c r="B475" s="9"/>
      <c r="L475" s="9"/>
      <c r="V475" s="9"/>
      <c r="AF475" s="9"/>
    </row>
    <row r="476" spans="2:32" ht="15" x14ac:dyDescent="0.2">
      <c r="B476" s="9"/>
      <c r="L476" s="9"/>
      <c r="V476" s="9"/>
      <c r="AF476" s="9"/>
    </row>
    <row r="477" spans="2:32" ht="15" x14ac:dyDescent="0.2">
      <c r="B477" s="9"/>
      <c r="L477" s="9"/>
      <c r="V477" s="9"/>
      <c r="AF477" s="9"/>
    </row>
    <row r="478" spans="2:32" ht="15" x14ac:dyDescent="0.2">
      <c r="B478" s="9"/>
      <c r="L478" s="9"/>
      <c r="V478" s="9"/>
      <c r="AF478" s="9"/>
    </row>
    <row r="479" spans="2:32" ht="15" x14ac:dyDescent="0.2">
      <c r="B479" s="9"/>
      <c r="L479" s="9"/>
      <c r="V479" s="9"/>
      <c r="AF479" s="9"/>
    </row>
    <row r="480" spans="2:32" ht="15" x14ac:dyDescent="0.2">
      <c r="B480" s="9"/>
      <c r="L480" s="9"/>
      <c r="V480" s="9"/>
      <c r="AF480" s="9"/>
    </row>
    <row r="481" spans="2:32" ht="15" x14ac:dyDescent="0.2">
      <c r="B481" s="9"/>
      <c r="L481" s="9"/>
      <c r="V481" s="9"/>
      <c r="AF481" s="9"/>
    </row>
    <row r="482" spans="2:32" ht="15" x14ac:dyDescent="0.2">
      <c r="B482" s="9"/>
      <c r="L482" s="9"/>
      <c r="V482" s="9"/>
      <c r="AF482" s="9"/>
    </row>
    <row r="483" spans="2:32" ht="15" x14ac:dyDescent="0.2">
      <c r="B483" s="9"/>
      <c r="L483" s="9"/>
      <c r="V483" s="9"/>
      <c r="AF483" s="9"/>
    </row>
    <row r="484" spans="2:32" ht="15" x14ac:dyDescent="0.2">
      <c r="B484" s="9"/>
      <c r="L484" s="9"/>
      <c r="V484" s="9"/>
      <c r="AF484" s="9"/>
    </row>
    <row r="485" spans="2:32" ht="15" x14ac:dyDescent="0.2">
      <c r="B485" s="9"/>
      <c r="L485" s="9"/>
      <c r="V485" s="9"/>
      <c r="AF485" s="9"/>
    </row>
    <row r="486" spans="2:32" ht="15" x14ac:dyDescent="0.2">
      <c r="B486" s="9"/>
      <c r="L486" s="9"/>
      <c r="V486" s="9"/>
      <c r="AF486" s="9"/>
    </row>
    <row r="487" spans="2:32" ht="15" x14ac:dyDescent="0.2">
      <c r="B487" s="9"/>
      <c r="L487" s="9"/>
      <c r="V487" s="9"/>
      <c r="AF487" s="9"/>
    </row>
    <row r="488" spans="2:32" ht="15" x14ac:dyDescent="0.2">
      <c r="B488" s="9"/>
      <c r="L488" s="9"/>
      <c r="V488" s="9"/>
      <c r="AF488" s="9"/>
    </row>
    <row r="489" spans="2:32" ht="15" x14ac:dyDescent="0.2">
      <c r="B489" s="9"/>
      <c r="L489" s="9"/>
      <c r="V489" s="9"/>
      <c r="AF489" s="9"/>
    </row>
    <row r="490" spans="2:32" ht="15" x14ac:dyDescent="0.2">
      <c r="B490" s="9"/>
      <c r="L490" s="9"/>
      <c r="V490" s="9"/>
      <c r="AF490" s="9"/>
    </row>
    <row r="491" spans="2:32" ht="15" x14ac:dyDescent="0.2">
      <c r="B491" s="9"/>
      <c r="L491" s="9"/>
      <c r="V491" s="9"/>
      <c r="AF491" s="9"/>
    </row>
    <row r="492" spans="2:32" ht="15" x14ac:dyDescent="0.2">
      <c r="B492" s="9"/>
      <c r="L492" s="9"/>
      <c r="V492" s="9"/>
      <c r="AF492" s="9"/>
    </row>
    <row r="493" spans="2:32" ht="15" x14ac:dyDescent="0.2">
      <c r="B493" s="9"/>
      <c r="L493" s="9"/>
      <c r="V493" s="9"/>
      <c r="AF493" s="9"/>
    </row>
    <row r="494" spans="2:32" ht="15" x14ac:dyDescent="0.2">
      <c r="B494" s="9"/>
      <c r="L494" s="9"/>
      <c r="V494" s="9"/>
      <c r="AF494" s="9"/>
    </row>
    <row r="495" spans="2:32" ht="15" x14ac:dyDescent="0.2">
      <c r="B495" s="9"/>
      <c r="L495" s="9"/>
      <c r="V495" s="9"/>
      <c r="AF495" s="9"/>
    </row>
    <row r="496" spans="2:32" ht="15" x14ac:dyDescent="0.2">
      <c r="B496" s="9"/>
      <c r="L496" s="9"/>
      <c r="V496" s="9"/>
      <c r="AF496" s="9"/>
    </row>
    <row r="497" spans="2:32" ht="15" x14ac:dyDescent="0.2">
      <c r="B497" s="9"/>
      <c r="L497" s="9"/>
      <c r="V497" s="9"/>
      <c r="AF497" s="9"/>
    </row>
    <row r="498" spans="2:32" ht="15" x14ac:dyDescent="0.2">
      <c r="B498" s="9"/>
      <c r="L498" s="9"/>
      <c r="V498" s="9"/>
      <c r="AF498" s="9"/>
    </row>
    <row r="499" spans="2:32" ht="15" x14ac:dyDescent="0.2">
      <c r="B499" s="9"/>
      <c r="L499" s="9"/>
      <c r="V499" s="9"/>
      <c r="AF499" s="9"/>
    </row>
    <row r="500" spans="2:32" ht="15" x14ac:dyDescent="0.2">
      <c r="B500" s="9"/>
      <c r="L500" s="9"/>
      <c r="V500" s="9"/>
      <c r="AF500" s="9"/>
    </row>
    <row r="501" spans="2:32" ht="15" x14ac:dyDescent="0.2">
      <c r="B501" s="9"/>
      <c r="L501" s="9"/>
      <c r="V501" s="9"/>
      <c r="AF501" s="9"/>
    </row>
    <row r="502" spans="2:32" ht="15" x14ac:dyDescent="0.2">
      <c r="B502" s="9"/>
      <c r="L502" s="9"/>
      <c r="V502" s="9"/>
      <c r="AF502" s="9"/>
    </row>
    <row r="503" spans="2:32" ht="15" x14ac:dyDescent="0.2">
      <c r="B503" s="9"/>
      <c r="L503" s="9"/>
      <c r="V503" s="9"/>
      <c r="AF503" s="9"/>
    </row>
    <row r="504" spans="2:32" ht="15" x14ac:dyDescent="0.2">
      <c r="B504" s="9"/>
      <c r="L504" s="9"/>
      <c r="V504" s="9"/>
      <c r="AF504" s="9"/>
    </row>
    <row r="505" spans="2:32" ht="15" x14ac:dyDescent="0.2">
      <c r="B505" s="9"/>
      <c r="L505" s="9"/>
      <c r="V505" s="9"/>
      <c r="AF505" s="9"/>
    </row>
    <row r="506" spans="2:32" ht="15" x14ac:dyDescent="0.2">
      <c r="B506" s="9"/>
      <c r="L506" s="9"/>
      <c r="V506" s="9"/>
      <c r="AF506" s="9"/>
    </row>
    <row r="507" spans="2:32" ht="15" x14ac:dyDescent="0.2">
      <c r="B507" s="9"/>
      <c r="L507" s="9"/>
      <c r="V507" s="9"/>
      <c r="AF507" s="9"/>
    </row>
    <row r="508" spans="2:32" ht="15" x14ac:dyDescent="0.2">
      <c r="B508" s="9"/>
      <c r="L508" s="9"/>
      <c r="V508" s="9"/>
      <c r="AF508" s="9"/>
    </row>
    <row r="509" spans="2:32" ht="15" x14ac:dyDescent="0.2">
      <c r="B509" s="9"/>
      <c r="L509" s="9"/>
      <c r="V509" s="9"/>
      <c r="AF509" s="9"/>
    </row>
    <row r="510" spans="2:32" ht="15" x14ac:dyDescent="0.2">
      <c r="B510" s="9"/>
      <c r="L510" s="9"/>
      <c r="V510" s="9"/>
      <c r="AF510" s="9"/>
    </row>
    <row r="511" spans="2:32" ht="15" x14ac:dyDescent="0.2">
      <c r="B511" s="9"/>
      <c r="L511" s="9"/>
      <c r="V511" s="9"/>
      <c r="AF511" s="9"/>
    </row>
    <row r="512" spans="2:32" ht="15" x14ac:dyDescent="0.2">
      <c r="B512" s="9"/>
      <c r="L512" s="9"/>
      <c r="V512" s="9"/>
      <c r="AF512" s="9"/>
    </row>
    <row r="513" spans="2:32" ht="15" x14ac:dyDescent="0.2">
      <c r="B513" s="9"/>
      <c r="L513" s="9"/>
      <c r="V513" s="9"/>
      <c r="AF513" s="9"/>
    </row>
    <row r="514" spans="2:32" ht="15" x14ac:dyDescent="0.2">
      <c r="B514" s="9"/>
      <c r="L514" s="9"/>
      <c r="V514" s="9"/>
      <c r="AF514" s="9"/>
    </row>
    <row r="515" spans="2:32" ht="15" x14ac:dyDescent="0.2">
      <c r="B515" s="9"/>
      <c r="L515" s="9"/>
      <c r="V515" s="9"/>
      <c r="AF515" s="9"/>
    </row>
    <row r="516" spans="2:32" ht="15" x14ac:dyDescent="0.2">
      <c r="B516" s="9"/>
      <c r="L516" s="9"/>
      <c r="V516" s="9"/>
      <c r="AF516" s="9"/>
    </row>
    <row r="517" spans="2:32" ht="15" x14ac:dyDescent="0.2">
      <c r="B517" s="9"/>
      <c r="L517" s="9"/>
      <c r="V517" s="9"/>
      <c r="AF517" s="9"/>
    </row>
    <row r="518" spans="2:32" ht="15" x14ac:dyDescent="0.2">
      <c r="B518" s="9"/>
      <c r="L518" s="9"/>
      <c r="V518" s="9"/>
      <c r="AF518" s="9"/>
    </row>
    <row r="519" spans="2:32" ht="15" x14ac:dyDescent="0.2">
      <c r="B519" s="9"/>
      <c r="L519" s="9"/>
      <c r="V519" s="9"/>
      <c r="AF519" s="9"/>
    </row>
    <row r="520" spans="2:32" ht="15" x14ac:dyDescent="0.2">
      <c r="B520" s="9"/>
      <c r="L520" s="9"/>
      <c r="V520" s="9"/>
      <c r="AF520" s="9"/>
    </row>
    <row r="521" spans="2:32" ht="15" x14ac:dyDescent="0.2">
      <c r="B521" s="9"/>
      <c r="L521" s="9"/>
      <c r="V521" s="9"/>
      <c r="AF521" s="9"/>
    </row>
    <row r="522" spans="2:32" ht="15" x14ac:dyDescent="0.2">
      <c r="B522" s="9"/>
      <c r="L522" s="9"/>
      <c r="V522" s="9"/>
      <c r="AF522" s="9"/>
    </row>
    <row r="523" spans="2:32" ht="15" x14ac:dyDescent="0.2">
      <c r="B523" s="9"/>
      <c r="L523" s="9"/>
      <c r="V523" s="9"/>
      <c r="AF523" s="9"/>
    </row>
    <row r="524" spans="2:32" ht="15" x14ac:dyDescent="0.2">
      <c r="B524" s="9"/>
      <c r="L524" s="9"/>
      <c r="V524" s="9"/>
      <c r="AF524" s="9"/>
    </row>
    <row r="525" spans="2:32" ht="15" x14ac:dyDescent="0.2">
      <c r="B525" s="9"/>
      <c r="L525" s="9"/>
      <c r="V525" s="9"/>
      <c r="AF525" s="9"/>
    </row>
    <row r="526" spans="2:32" ht="15" x14ac:dyDescent="0.2">
      <c r="B526" s="9"/>
      <c r="L526" s="9"/>
      <c r="V526" s="9"/>
      <c r="AF526" s="9"/>
    </row>
    <row r="527" spans="2:32" ht="15" x14ac:dyDescent="0.2">
      <c r="B527" s="9"/>
      <c r="L527" s="9"/>
      <c r="V527" s="9"/>
      <c r="AF527" s="9"/>
    </row>
    <row r="528" spans="2:32" ht="15" x14ac:dyDescent="0.2">
      <c r="B528" s="9"/>
      <c r="L528" s="9"/>
      <c r="V528" s="9"/>
      <c r="AF528" s="9"/>
    </row>
    <row r="529" spans="2:32" ht="15" x14ac:dyDescent="0.2">
      <c r="B529" s="9"/>
      <c r="L529" s="9"/>
      <c r="V529" s="9"/>
      <c r="AF529" s="9"/>
    </row>
    <row r="530" spans="2:32" ht="15" x14ac:dyDescent="0.2">
      <c r="B530" s="9"/>
      <c r="L530" s="9"/>
      <c r="V530" s="9"/>
      <c r="AF530" s="9"/>
    </row>
    <row r="531" spans="2:32" ht="15" x14ac:dyDescent="0.2">
      <c r="B531" s="9"/>
      <c r="L531" s="9"/>
      <c r="V531" s="9"/>
      <c r="AF531" s="9"/>
    </row>
    <row r="532" spans="2:32" ht="15" x14ac:dyDescent="0.2">
      <c r="B532" s="9"/>
      <c r="L532" s="9"/>
      <c r="V532" s="9"/>
      <c r="AF532" s="9"/>
    </row>
    <row r="533" spans="2:32" ht="15" x14ac:dyDescent="0.2">
      <c r="B533" s="9"/>
      <c r="L533" s="9"/>
      <c r="V533" s="9"/>
      <c r="AF533" s="9"/>
    </row>
    <row r="534" spans="2:32" ht="15" x14ac:dyDescent="0.2">
      <c r="B534" s="9"/>
      <c r="L534" s="9"/>
      <c r="V534" s="9"/>
      <c r="AF534" s="9"/>
    </row>
    <row r="535" spans="2:32" ht="15" x14ac:dyDescent="0.2">
      <c r="B535" s="9"/>
      <c r="L535" s="9"/>
      <c r="V535" s="9"/>
      <c r="AF535" s="9"/>
    </row>
    <row r="536" spans="2:32" ht="15" x14ac:dyDescent="0.2">
      <c r="B536" s="9"/>
      <c r="L536" s="9"/>
      <c r="V536" s="9"/>
      <c r="AF536" s="9"/>
    </row>
    <row r="537" spans="2:32" ht="15" x14ac:dyDescent="0.2">
      <c r="B537" s="9"/>
      <c r="L537" s="9"/>
      <c r="V537" s="9"/>
      <c r="AF537" s="9"/>
    </row>
    <row r="538" spans="2:32" ht="15" x14ac:dyDescent="0.2">
      <c r="B538" s="9"/>
      <c r="L538" s="9"/>
      <c r="V538" s="9"/>
      <c r="AF538" s="9"/>
    </row>
    <row r="539" spans="2:32" ht="15" x14ac:dyDescent="0.2">
      <c r="B539" s="9"/>
      <c r="L539" s="9"/>
      <c r="V539" s="9"/>
      <c r="AF539" s="9"/>
    </row>
    <row r="540" spans="2:32" ht="15" x14ac:dyDescent="0.2">
      <c r="B540" s="9"/>
      <c r="L540" s="9"/>
      <c r="V540" s="9"/>
      <c r="AF540" s="9"/>
    </row>
    <row r="541" spans="2:32" ht="15" x14ac:dyDescent="0.2">
      <c r="B541" s="9"/>
      <c r="L541" s="9"/>
      <c r="V541" s="9"/>
      <c r="AF541" s="9"/>
    </row>
    <row r="542" spans="2:32" ht="15" x14ac:dyDescent="0.2">
      <c r="B542" s="9"/>
      <c r="L542" s="9"/>
      <c r="V542" s="9"/>
      <c r="AF542" s="9"/>
    </row>
    <row r="543" spans="2:32" ht="15" x14ac:dyDescent="0.2">
      <c r="B543" s="9"/>
      <c r="L543" s="9"/>
      <c r="V543" s="9"/>
      <c r="AF543" s="9"/>
    </row>
    <row r="544" spans="2:32" ht="15" x14ac:dyDescent="0.2">
      <c r="B544" s="9"/>
      <c r="L544" s="9"/>
      <c r="V544" s="9"/>
      <c r="AF544" s="9"/>
    </row>
    <row r="545" spans="2:32" ht="15" x14ac:dyDescent="0.2">
      <c r="B545" s="9"/>
      <c r="L545" s="9"/>
      <c r="V545" s="9"/>
      <c r="AF545" s="9"/>
    </row>
    <row r="546" spans="2:32" ht="15" x14ac:dyDescent="0.2">
      <c r="B546" s="9"/>
      <c r="L546" s="9"/>
      <c r="V546" s="9"/>
      <c r="AF546" s="9"/>
    </row>
    <row r="547" spans="2:32" ht="15" x14ac:dyDescent="0.2">
      <c r="B547" s="9"/>
      <c r="L547" s="9"/>
      <c r="V547" s="9"/>
      <c r="AF547" s="9"/>
    </row>
    <row r="548" spans="2:32" ht="15" x14ac:dyDescent="0.2">
      <c r="B548" s="9"/>
      <c r="L548" s="9"/>
      <c r="V548" s="9"/>
      <c r="AF548" s="9"/>
    </row>
    <row r="549" spans="2:32" ht="15" x14ac:dyDescent="0.2">
      <c r="B549" s="9"/>
      <c r="L549" s="9"/>
      <c r="V549" s="9"/>
      <c r="AF549" s="9"/>
    </row>
    <row r="550" spans="2:32" ht="15" x14ac:dyDescent="0.2">
      <c r="B550" s="9"/>
      <c r="L550" s="9"/>
      <c r="V550" s="9"/>
      <c r="AF550" s="9"/>
    </row>
    <row r="551" spans="2:32" ht="15" x14ac:dyDescent="0.2">
      <c r="B551" s="9"/>
      <c r="L551" s="9"/>
      <c r="V551" s="9"/>
      <c r="AF551" s="9"/>
    </row>
    <row r="552" spans="2:32" ht="15" x14ac:dyDescent="0.2">
      <c r="B552" s="9"/>
      <c r="L552" s="9"/>
      <c r="V552" s="9"/>
      <c r="AF552" s="9"/>
    </row>
    <row r="553" spans="2:32" ht="15" x14ac:dyDescent="0.2">
      <c r="B553" s="9"/>
      <c r="L553" s="9"/>
      <c r="V553" s="9"/>
      <c r="AF553" s="9"/>
    </row>
    <row r="554" spans="2:32" ht="15" x14ac:dyDescent="0.2">
      <c r="B554" s="9"/>
      <c r="L554" s="9"/>
      <c r="V554" s="9"/>
      <c r="AF554" s="9"/>
    </row>
    <row r="555" spans="2:32" ht="15" x14ac:dyDescent="0.2">
      <c r="B555" s="9"/>
      <c r="L555" s="9"/>
      <c r="V555" s="9"/>
      <c r="AF555" s="9"/>
    </row>
    <row r="556" spans="2:32" ht="15" x14ac:dyDescent="0.2">
      <c r="B556" s="9"/>
      <c r="L556" s="9"/>
      <c r="V556" s="9"/>
      <c r="AF556" s="9"/>
    </row>
    <row r="557" spans="2:32" ht="15" x14ac:dyDescent="0.2">
      <c r="B557" s="9"/>
      <c r="L557" s="9"/>
      <c r="V557" s="9"/>
      <c r="AF557" s="9"/>
    </row>
    <row r="558" spans="2:32" ht="15" x14ac:dyDescent="0.2">
      <c r="B558" s="9"/>
      <c r="L558" s="9"/>
      <c r="V558" s="9"/>
      <c r="AF558" s="9"/>
    </row>
    <row r="559" spans="2:32" ht="15" x14ac:dyDescent="0.2">
      <c r="B559" s="9"/>
      <c r="L559" s="9"/>
      <c r="V559" s="9"/>
      <c r="AF559" s="9"/>
    </row>
    <row r="560" spans="2:32" ht="15" x14ac:dyDescent="0.2">
      <c r="B560" s="9"/>
      <c r="L560" s="9"/>
      <c r="V560" s="9"/>
      <c r="AF560" s="9"/>
    </row>
    <row r="561" spans="2:32" ht="15" x14ac:dyDescent="0.2">
      <c r="B561" s="9"/>
      <c r="L561" s="9"/>
      <c r="V561" s="9"/>
      <c r="AF561" s="9"/>
    </row>
    <row r="562" spans="2:32" ht="15" x14ac:dyDescent="0.2">
      <c r="B562" s="9"/>
      <c r="L562" s="9"/>
      <c r="V562" s="9"/>
      <c r="AF562" s="9"/>
    </row>
    <row r="563" spans="2:32" ht="15" x14ac:dyDescent="0.2">
      <c r="B563" s="9"/>
      <c r="L563" s="9"/>
      <c r="V563" s="9"/>
      <c r="AF563" s="9"/>
    </row>
    <row r="564" spans="2:32" ht="15" x14ac:dyDescent="0.2">
      <c r="B564" s="9"/>
      <c r="L564" s="9"/>
      <c r="V564" s="9"/>
      <c r="AF564" s="9"/>
    </row>
    <row r="565" spans="2:32" ht="15" x14ac:dyDescent="0.2">
      <c r="B565" s="9"/>
      <c r="L565" s="9"/>
      <c r="V565" s="9"/>
      <c r="AF565" s="9"/>
    </row>
    <row r="566" spans="2:32" ht="15" x14ac:dyDescent="0.2">
      <c r="B566" s="9"/>
      <c r="L566" s="9"/>
      <c r="V566" s="9"/>
      <c r="AF566" s="9"/>
    </row>
    <row r="567" spans="2:32" ht="15" x14ac:dyDescent="0.2">
      <c r="B567" s="9"/>
      <c r="L567" s="9"/>
      <c r="V567" s="9"/>
      <c r="AF567" s="9"/>
    </row>
    <row r="568" spans="2:32" ht="15" x14ac:dyDescent="0.2">
      <c r="B568" s="9"/>
      <c r="L568" s="9"/>
      <c r="V568" s="9"/>
      <c r="AF568" s="9"/>
    </row>
    <row r="569" spans="2:32" ht="15" x14ac:dyDescent="0.2">
      <c r="B569" s="9"/>
      <c r="L569" s="9"/>
      <c r="V569" s="9"/>
      <c r="AF569" s="9"/>
    </row>
    <row r="570" spans="2:32" ht="15" x14ac:dyDescent="0.2">
      <c r="B570" s="9"/>
      <c r="L570" s="9"/>
      <c r="V570" s="9"/>
      <c r="AF570" s="9"/>
    </row>
    <row r="571" spans="2:32" ht="15" x14ac:dyDescent="0.2">
      <c r="B571" s="9"/>
      <c r="L571" s="9"/>
      <c r="V571" s="9"/>
      <c r="AF571" s="9"/>
    </row>
    <row r="572" spans="2:32" ht="15" x14ac:dyDescent="0.2">
      <c r="B572" s="9"/>
      <c r="L572" s="9"/>
      <c r="V572" s="9"/>
      <c r="AF572" s="9"/>
    </row>
    <row r="573" spans="2:32" ht="15" x14ac:dyDescent="0.2">
      <c r="B573" s="9"/>
      <c r="L573" s="9"/>
      <c r="V573" s="9"/>
      <c r="AF573" s="9"/>
    </row>
    <row r="574" spans="2:32" ht="15" x14ac:dyDescent="0.2">
      <c r="B574" s="9"/>
      <c r="L574" s="9"/>
      <c r="V574" s="9"/>
      <c r="AF574" s="9"/>
    </row>
    <row r="575" spans="2:32" ht="15" x14ac:dyDescent="0.2">
      <c r="B575" s="9"/>
      <c r="L575" s="9"/>
      <c r="V575" s="9"/>
      <c r="AF575" s="9"/>
    </row>
    <row r="576" spans="2:32" ht="15" x14ac:dyDescent="0.2">
      <c r="B576" s="9"/>
      <c r="L576" s="9"/>
      <c r="V576" s="9"/>
      <c r="AF576" s="9"/>
    </row>
    <row r="577" spans="2:32" ht="15" x14ac:dyDescent="0.2">
      <c r="B577" s="9"/>
      <c r="L577" s="9"/>
      <c r="V577" s="9"/>
      <c r="AF577" s="9"/>
    </row>
    <row r="578" spans="2:32" ht="15" x14ac:dyDescent="0.2">
      <c r="B578" s="9"/>
      <c r="L578" s="9"/>
      <c r="V578" s="9"/>
      <c r="AF578" s="9"/>
    </row>
    <row r="579" spans="2:32" ht="15" x14ac:dyDescent="0.2">
      <c r="B579" s="9"/>
      <c r="L579" s="9"/>
      <c r="V579" s="9"/>
      <c r="AF579" s="9"/>
    </row>
    <row r="580" spans="2:32" ht="15" x14ac:dyDescent="0.2">
      <c r="B580" s="9"/>
      <c r="L580" s="9"/>
      <c r="V580" s="9"/>
      <c r="AF580" s="9"/>
    </row>
    <row r="581" spans="2:32" ht="15" x14ac:dyDescent="0.2">
      <c r="B581" s="9"/>
      <c r="L581" s="9"/>
      <c r="V581" s="9"/>
      <c r="AF581" s="9"/>
    </row>
    <row r="582" spans="2:32" ht="15" x14ac:dyDescent="0.2">
      <c r="B582" s="9"/>
      <c r="L582" s="9"/>
      <c r="V582" s="9"/>
      <c r="AF582" s="9"/>
    </row>
    <row r="583" spans="2:32" ht="15" x14ac:dyDescent="0.2">
      <c r="B583" s="9"/>
      <c r="L583" s="9"/>
      <c r="V583" s="9"/>
      <c r="AF583" s="9"/>
    </row>
    <row r="584" spans="2:32" ht="15" x14ac:dyDescent="0.2">
      <c r="B584" s="9"/>
      <c r="L584" s="9"/>
      <c r="V584" s="9"/>
      <c r="AF584" s="9"/>
    </row>
    <row r="585" spans="2:32" ht="15" x14ac:dyDescent="0.2">
      <c r="B585" s="9"/>
      <c r="L585" s="9"/>
      <c r="V585" s="9"/>
      <c r="AF585" s="9"/>
    </row>
    <row r="586" spans="2:32" ht="15" x14ac:dyDescent="0.2">
      <c r="B586" s="9"/>
      <c r="L586" s="9"/>
      <c r="V586" s="9"/>
      <c r="AF586" s="9"/>
    </row>
    <row r="587" spans="2:32" ht="15" x14ac:dyDescent="0.2">
      <c r="B587" s="9"/>
      <c r="L587" s="9"/>
      <c r="V587" s="9"/>
      <c r="AF587" s="9"/>
    </row>
    <row r="588" spans="2:32" ht="15" x14ac:dyDescent="0.2">
      <c r="B588" s="9"/>
      <c r="L588" s="9"/>
      <c r="V588" s="9"/>
      <c r="AF588" s="9"/>
    </row>
    <row r="589" spans="2:32" ht="15" x14ac:dyDescent="0.2">
      <c r="B589" s="9"/>
      <c r="L589" s="9"/>
      <c r="V589" s="9"/>
      <c r="AF589" s="9"/>
    </row>
    <row r="590" spans="2:32" ht="15" x14ac:dyDescent="0.2">
      <c r="B590" s="9"/>
      <c r="L590" s="9"/>
      <c r="V590" s="9"/>
      <c r="AF590" s="9"/>
    </row>
    <row r="591" spans="2:32" ht="15" x14ac:dyDescent="0.2">
      <c r="B591" s="9"/>
      <c r="L591" s="9"/>
      <c r="V591" s="9"/>
      <c r="AF591" s="9"/>
    </row>
    <row r="592" spans="2:32" ht="15" x14ac:dyDescent="0.2">
      <c r="B592" s="9"/>
      <c r="L592" s="9"/>
      <c r="V592" s="9"/>
      <c r="AF592" s="9"/>
    </row>
    <row r="593" spans="2:32" ht="15" x14ac:dyDescent="0.2">
      <c r="B593" s="9"/>
      <c r="L593" s="9"/>
      <c r="V593" s="9"/>
      <c r="AF593" s="9"/>
    </row>
    <row r="594" spans="2:32" ht="15" x14ac:dyDescent="0.2">
      <c r="B594" s="9"/>
      <c r="L594" s="9"/>
      <c r="V594" s="9"/>
      <c r="AF594" s="9"/>
    </row>
    <row r="595" spans="2:32" ht="15" x14ac:dyDescent="0.2">
      <c r="B595" s="9"/>
      <c r="L595" s="9"/>
      <c r="V595" s="9"/>
      <c r="AF595" s="9"/>
    </row>
    <row r="596" spans="2:32" ht="15" x14ac:dyDescent="0.2">
      <c r="B596" s="9"/>
      <c r="L596" s="9"/>
      <c r="V596" s="9"/>
      <c r="AF596" s="9"/>
    </row>
    <row r="597" spans="2:32" ht="15" x14ac:dyDescent="0.2">
      <c r="B597" s="9"/>
      <c r="L597" s="9"/>
      <c r="V597" s="9"/>
      <c r="AF597" s="9"/>
    </row>
    <row r="598" spans="2:32" ht="15" x14ac:dyDescent="0.2">
      <c r="B598" s="9"/>
      <c r="L598" s="9"/>
      <c r="V598" s="9"/>
      <c r="AF598" s="9"/>
    </row>
    <row r="599" spans="2:32" ht="15" x14ac:dyDescent="0.2">
      <c r="B599" s="9"/>
      <c r="L599" s="9"/>
      <c r="V599" s="9"/>
      <c r="AF599" s="9"/>
    </row>
    <row r="600" spans="2:32" ht="15" x14ac:dyDescent="0.2">
      <c r="B600" s="9"/>
      <c r="L600" s="9"/>
      <c r="V600" s="9"/>
      <c r="AF600" s="9"/>
    </row>
    <row r="601" spans="2:32" ht="15" x14ac:dyDescent="0.2">
      <c r="B601" s="9"/>
      <c r="L601" s="9"/>
      <c r="V601" s="9"/>
      <c r="AF601" s="9"/>
    </row>
    <row r="602" spans="2:32" ht="15" x14ac:dyDescent="0.2">
      <c r="B602" s="9"/>
      <c r="L602" s="9"/>
      <c r="V602" s="9"/>
      <c r="AF602" s="9"/>
    </row>
    <row r="603" spans="2:32" ht="15" x14ac:dyDescent="0.2">
      <c r="B603" s="9"/>
      <c r="L603" s="9"/>
      <c r="V603" s="9"/>
      <c r="AF603" s="9"/>
    </row>
    <row r="604" spans="2:32" ht="15" x14ac:dyDescent="0.2">
      <c r="B604" s="9"/>
      <c r="L604" s="9"/>
      <c r="V604" s="9"/>
      <c r="AF604" s="9"/>
    </row>
    <row r="605" spans="2:32" ht="15" x14ac:dyDescent="0.2">
      <c r="B605" s="9"/>
      <c r="L605" s="9"/>
      <c r="V605" s="9"/>
      <c r="AF605" s="9"/>
    </row>
    <row r="606" spans="2:32" ht="15" x14ac:dyDescent="0.2">
      <c r="B606" s="9"/>
      <c r="L606" s="9"/>
      <c r="V606" s="9"/>
      <c r="AF606" s="9"/>
    </row>
    <row r="607" spans="2:32" ht="15" x14ac:dyDescent="0.2">
      <c r="B607" s="9"/>
      <c r="L607" s="9"/>
      <c r="V607" s="9"/>
      <c r="AF607" s="9"/>
    </row>
    <row r="608" spans="2:32" ht="15" x14ac:dyDescent="0.2">
      <c r="B608" s="9"/>
      <c r="L608" s="9"/>
      <c r="V608" s="9"/>
      <c r="AF608" s="9"/>
    </row>
    <row r="609" spans="2:32" ht="15" x14ac:dyDescent="0.2">
      <c r="B609" s="9"/>
      <c r="L609" s="9"/>
      <c r="V609" s="9"/>
      <c r="AF609" s="9"/>
    </row>
    <row r="610" spans="2:32" ht="15" x14ac:dyDescent="0.2">
      <c r="B610" s="9"/>
      <c r="L610" s="9"/>
      <c r="V610" s="9"/>
      <c r="AF610" s="9"/>
    </row>
    <row r="611" spans="2:32" ht="15" x14ac:dyDescent="0.2">
      <c r="B611" s="9"/>
      <c r="L611" s="9"/>
      <c r="V611" s="9"/>
      <c r="AF611" s="9"/>
    </row>
    <row r="612" spans="2:32" ht="15" x14ac:dyDescent="0.2">
      <c r="B612" s="9"/>
      <c r="L612" s="9"/>
      <c r="V612" s="9"/>
      <c r="AF612" s="9"/>
    </row>
    <row r="613" spans="2:32" ht="15" x14ac:dyDescent="0.2">
      <c r="B613" s="9"/>
      <c r="L613" s="9"/>
      <c r="V613" s="9"/>
      <c r="AF613" s="9"/>
    </row>
    <row r="614" spans="2:32" ht="15" x14ac:dyDescent="0.2">
      <c r="B614" s="9"/>
      <c r="L614" s="9"/>
      <c r="V614" s="9"/>
      <c r="AF614" s="9"/>
    </row>
    <row r="615" spans="2:32" ht="15" x14ac:dyDescent="0.2">
      <c r="B615" s="9"/>
      <c r="L615" s="9"/>
      <c r="V615" s="9"/>
      <c r="AF615" s="9"/>
    </row>
    <row r="616" spans="2:32" ht="15" x14ac:dyDescent="0.2">
      <c r="B616" s="9"/>
      <c r="L616" s="9"/>
      <c r="V616" s="9"/>
      <c r="AF616" s="9"/>
    </row>
    <row r="617" spans="2:32" ht="15" x14ac:dyDescent="0.2">
      <c r="B617" s="9"/>
      <c r="L617" s="9"/>
      <c r="V617" s="9"/>
      <c r="AF617" s="9"/>
    </row>
    <row r="618" spans="2:32" ht="15" x14ac:dyDescent="0.2">
      <c r="B618" s="9"/>
      <c r="L618" s="9"/>
      <c r="V618" s="9"/>
      <c r="AF618" s="9"/>
    </row>
    <row r="619" spans="2:32" ht="15" x14ac:dyDescent="0.2">
      <c r="B619" s="9"/>
      <c r="L619" s="9"/>
      <c r="V619" s="9"/>
      <c r="AF619" s="9"/>
    </row>
    <row r="620" spans="2:32" ht="15" x14ac:dyDescent="0.2">
      <c r="B620" s="9"/>
      <c r="L620" s="9"/>
      <c r="V620" s="9"/>
      <c r="AF620" s="9"/>
    </row>
    <row r="621" spans="2:32" ht="15" x14ac:dyDescent="0.2">
      <c r="B621" s="9"/>
      <c r="L621" s="9"/>
      <c r="V621" s="9"/>
      <c r="AF621" s="9"/>
    </row>
    <row r="622" spans="2:32" ht="15" x14ac:dyDescent="0.2">
      <c r="B622" s="9"/>
      <c r="L622" s="9"/>
      <c r="V622" s="9"/>
      <c r="AF622" s="9"/>
    </row>
    <row r="623" spans="2:32" ht="15" x14ac:dyDescent="0.2">
      <c r="B623" s="9"/>
      <c r="L623" s="9"/>
      <c r="V623" s="9"/>
      <c r="AF623" s="9"/>
    </row>
    <row r="624" spans="2:32" ht="15" x14ac:dyDescent="0.2">
      <c r="B624" s="9"/>
      <c r="L624" s="9"/>
      <c r="V624" s="9"/>
      <c r="AF624" s="9"/>
    </row>
    <row r="625" spans="2:32" ht="15" x14ac:dyDescent="0.2">
      <c r="B625" s="9"/>
      <c r="L625" s="9"/>
      <c r="V625" s="9"/>
      <c r="AF625" s="9"/>
    </row>
    <row r="626" spans="2:32" ht="15" x14ac:dyDescent="0.2">
      <c r="B626" s="9"/>
      <c r="L626" s="9"/>
      <c r="V626" s="9"/>
      <c r="AF626" s="9"/>
    </row>
    <row r="627" spans="2:32" ht="15" x14ac:dyDescent="0.2">
      <c r="B627" s="9"/>
      <c r="L627" s="9"/>
      <c r="V627" s="9"/>
      <c r="AF627" s="9"/>
    </row>
    <row r="628" spans="2:32" ht="15" x14ac:dyDescent="0.2">
      <c r="B628" s="9"/>
      <c r="L628" s="9"/>
      <c r="V628" s="9"/>
      <c r="AF628" s="9"/>
    </row>
    <row r="629" spans="2:32" ht="15" x14ac:dyDescent="0.2">
      <c r="B629" s="9"/>
      <c r="L629" s="9"/>
      <c r="V629" s="9"/>
      <c r="AF629" s="9"/>
    </row>
    <row r="630" spans="2:32" ht="15" x14ac:dyDescent="0.2">
      <c r="B630" s="9"/>
      <c r="L630" s="9"/>
      <c r="V630" s="9"/>
      <c r="AF630" s="9"/>
    </row>
    <row r="631" spans="2:32" ht="15" x14ac:dyDescent="0.2">
      <c r="B631" s="9"/>
      <c r="L631" s="9"/>
      <c r="V631" s="9"/>
      <c r="AF631" s="9"/>
    </row>
    <row r="632" spans="2:32" ht="15" x14ac:dyDescent="0.2">
      <c r="B632" s="9"/>
      <c r="L632" s="9"/>
      <c r="V632" s="9"/>
      <c r="AF632" s="9"/>
    </row>
    <row r="633" spans="2:32" ht="15" x14ac:dyDescent="0.2">
      <c r="B633" s="9"/>
      <c r="L633" s="9"/>
      <c r="V633" s="9"/>
      <c r="AF633" s="9"/>
    </row>
    <row r="634" spans="2:32" ht="15" x14ac:dyDescent="0.2">
      <c r="B634" s="9"/>
      <c r="L634" s="9"/>
      <c r="V634" s="9"/>
      <c r="AF634" s="9"/>
    </row>
    <row r="635" spans="2:32" ht="15" x14ac:dyDescent="0.2">
      <c r="B635" s="9"/>
      <c r="L635" s="9"/>
      <c r="V635" s="9"/>
      <c r="AF635" s="9"/>
    </row>
    <row r="636" spans="2:32" ht="15" x14ac:dyDescent="0.2">
      <c r="B636" s="9"/>
      <c r="L636" s="9"/>
      <c r="V636" s="9"/>
      <c r="AF636" s="9"/>
    </row>
    <row r="637" spans="2:32" ht="15" x14ac:dyDescent="0.2">
      <c r="B637" s="9"/>
      <c r="L637" s="9"/>
      <c r="V637" s="9"/>
      <c r="AF637" s="9"/>
    </row>
    <row r="638" spans="2:32" ht="15" x14ac:dyDescent="0.2">
      <c r="B638" s="9"/>
      <c r="L638" s="9"/>
      <c r="V638" s="9"/>
      <c r="AF638" s="9"/>
    </row>
    <row r="639" spans="2:32" ht="15" x14ac:dyDescent="0.2">
      <c r="B639" s="9"/>
      <c r="L639" s="9"/>
      <c r="V639" s="9"/>
      <c r="AF639" s="9"/>
    </row>
    <row r="640" spans="2:32" ht="15" x14ac:dyDescent="0.2">
      <c r="B640" s="9"/>
      <c r="L640" s="9"/>
      <c r="V640" s="9"/>
      <c r="AF640" s="9"/>
    </row>
    <row r="641" spans="2:32" ht="15" x14ac:dyDescent="0.2">
      <c r="B641" s="9"/>
      <c r="L641" s="9"/>
      <c r="V641" s="9"/>
      <c r="AF641" s="9"/>
    </row>
    <row r="642" spans="2:32" ht="15" x14ac:dyDescent="0.2">
      <c r="B642" s="9"/>
      <c r="L642" s="9"/>
      <c r="V642" s="9"/>
      <c r="AF642" s="9"/>
    </row>
    <row r="643" spans="2:32" ht="15" x14ac:dyDescent="0.2">
      <c r="B643" s="9"/>
      <c r="L643" s="9"/>
      <c r="V643" s="9"/>
      <c r="AF643" s="9"/>
    </row>
    <row r="644" spans="2:32" ht="15" x14ac:dyDescent="0.2">
      <c r="B644" s="9"/>
      <c r="L644" s="9"/>
      <c r="V644" s="9"/>
      <c r="AF644" s="9"/>
    </row>
    <row r="645" spans="2:32" ht="15" x14ac:dyDescent="0.2">
      <c r="B645" s="9"/>
      <c r="L645" s="9"/>
      <c r="V645" s="9"/>
      <c r="AF645" s="9"/>
    </row>
    <row r="646" spans="2:32" ht="15" x14ac:dyDescent="0.2">
      <c r="B646" s="9"/>
      <c r="L646" s="9"/>
      <c r="V646" s="9"/>
      <c r="AF646" s="9"/>
    </row>
    <row r="647" spans="2:32" ht="15" x14ac:dyDescent="0.2">
      <c r="B647" s="9"/>
      <c r="L647" s="9"/>
      <c r="V647" s="9"/>
      <c r="AF647" s="9"/>
    </row>
    <row r="648" spans="2:32" ht="15" x14ac:dyDescent="0.2">
      <c r="B648" s="9"/>
      <c r="L648" s="9"/>
      <c r="V648" s="9"/>
      <c r="AF648" s="9"/>
    </row>
    <row r="649" spans="2:32" ht="15" x14ac:dyDescent="0.2">
      <c r="B649" s="9"/>
      <c r="L649" s="9"/>
      <c r="V649" s="9"/>
      <c r="AF649" s="9"/>
    </row>
    <row r="650" spans="2:32" ht="15" x14ac:dyDescent="0.2">
      <c r="B650" s="9"/>
      <c r="L650" s="9"/>
      <c r="V650" s="9"/>
      <c r="AF650" s="9"/>
    </row>
    <row r="651" spans="2:32" ht="15" x14ac:dyDescent="0.2">
      <c r="B651" s="9"/>
      <c r="L651" s="9"/>
      <c r="V651" s="9"/>
      <c r="AF651" s="9"/>
    </row>
    <row r="652" spans="2:32" ht="15" x14ac:dyDescent="0.2">
      <c r="B652" s="9"/>
      <c r="L652" s="9"/>
      <c r="V652" s="9"/>
      <c r="AF652" s="9"/>
    </row>
    <row r="653" spans="2:32" ht="15" x14ac:dyDescent="0.2">
      <c r="B653" s="9"/>
      <c r="L653" s="9"/>
      <c r="V653" s="9"/>
      <c r="AF653" s="9"/>
    </row>
    <row r="654" spans="2:32" ht="15" x14ac:dyDescent="0.2">
      <c r="B654" s="9"/>
      <c r="L654" s="9"/>
      <c r="V654" s="9"/>
      <c r="AF654" s="9"/>
    </row>
    <row r="655" spans="2:32" ht="15" x14ac:dyDescent="0.2">
      <c r="B655" s="9"/>
      <c r="L655" s="9"/>
      <c r="V655" s="9"/>
      <c r="AF655" s="9"/>
    </row>
    <row r="656" spans="2:32" ht="15" x14ac:dyDescent="0.2">
      <c r="B656" s="9"/>
      <c r="L656" s="9"/>
      <c r="V656" s="9"/>
      <c r="AF656" s="9"/>
    </row>
    <row r="657" spans="2:32" ht="15" x14ac:dyDescent="0.2">
      <c r="B657" s="9"/>
      <c r="L657" s="9"/>
      <c r="V657" s="9"/>
      <c r="AF657" s="9"/>
    </row>
    <row r="658" spans="2:32" ht="15" x14ac:dyDescent="0.2">
      <c r="B658" s="9"/>
      <c r="L658" s="9"/>
      <c r="V658" s="9"/>
      <c r="AF658" s="9"/>
    </row>
    <row r="659" spans="2:32" ht="15" x14ac:dyDescent="0.2">
      <c r="B659" s="9"/>
      <c r="L659" s="9"/>
      <c r="V659" s="9"/>
      <c r="AF659" s="9"/>
    </row>
    <row r="660" spans="2:32" ht="15" x14ac:dyDescent="0.2">
      <c r="B660" s="9"/>
      <c r="L660" s="9"/>
      <c r="V660" s="9"/>
      <c r="AF660" s="9"/>
    </row>
    <row r="661" spans="2:32" ht="15" x14ac:dyDescent="0.2">
      <c r="B661" s="9"/>
      <c r="L661" s="9"/>
      <c r="V661" s="9"/>
      <c r="AF661" s="9"/>
    </row>
    <row r="662" spans="2:32" ht="15" x14ac:dyDescent="0.2">
      <c r="B662" s="9"/>
      <c r="L662" s="9"/>
      <c r="V662" s="9"/>
      <c r="AF662" s="9"/>
    </row>
    <row r="663" spans="2:32" ht="15" x14ac:dyDescent="0.2">
      <c r="B663" s="9"/>
      <c r="L663" s="9"/>
      <c r="V663" s="9"/>
      <c r="AF663" s="9"/>
    </row>
    <row r="664" spans="2:32" ht="15" x14ac:dyDescent="0.2">
      <c r="B664" s="9"/>
      <c r="L664" s="9"/>
      <c r="V664" s="9"/>
      <c r="AF664" s="9"/>
    </row>
    <row r="665" spans="2:32" ht="15" x14ac:dyDescent="0.2">
      <c r="B665" s="9"/>
      <c r="L665" s="9"/>
      <c r="V665" s="9"/>
      <c r="AF665" s="9"/>
    </row>
    <row r="666" spans="2:32" ht="15" x14ac:dyDescent="0.2">
      <c r="B666" s="9"/>
      <c r="L666" s="9"/>
      <c r="V666" s="9"/>
      <c r="AF666" s="9"/>
    </row>
    <row r="667" spans="2:32" ht="15" x14ac:dyDescent="0.2">
      <c r="B667" s="9"/>
      <c r="L667" s="9"/>
      <c r="V667" s="9"/>
      <c r="AF667" s="9"/>
    </row>
    <row r="668" spans="2:32" ht="15" x14ac:dyDescent="0.2">
      <c r="B668" s="9"/>
      <c r="L668" s="9"/>
      <c r="V668" s="9"/>
      <c r="AF668" s="9"/>
    </row>
    <row r="669" spans="2:32" ht="15" x14ac:dyDescent="0.2">
      <c r="B669" s="9"/>
      <c r="L669" s="9"/>
      <c r="V669" s="9"/>
      <c r="AF669" s="9"/>
    </row>
    <row r="670" spans="2:32" ht="15" x14ac:dyDescent="0.2">
      <c r="B670" s="9"/>
      <c r="L670" s="9"/>
      <c r="V670" s="9"/>
      <c r="AF670" s="9"/>
    </row>
    <row r="671" spans="2:32" ht="15" x14ac:dyDescent="0.2">
      <c r="B671" s="9"/>
      <c r="L671" s="9"/>
      <c r="V671" s="9"/>
      <c r="AF671" s="9"/>
    </row>
    <row r="672" spans="2:32" ht="15" x14ac:dyDescent="0.2">
      <c r="B672" s="9"/>
      <c r="L672" s="9"/>
      <c r="V672" s="9"/>
      <c r="AF672" s="9"/>
    </row>
    <row r="673" spans="2:32" ht="15" x14ac:dyDescent="0.2">
      <c r="B673" s="9"/>
      <c r="L673" s="9"/>
      <c r="V673" s="9"/>
      <c r="AF673" s="9"/>
    </row>
    <row r="674" spans="2:32" ht="15" x14ac:dyDescent="0.2">
      <c r="B674" s="9"/>
      <c r="L674" s="9"/>
      <c r="V674" s="9"/>
      <c r="AF674" s="9"/>
    </row>
    <row r="675" spans="2:32" ht="15" x14ac:dyDescent="0.2">
      <c r="B675" s="9"/>
      <c r="L675" s="9"/>
      <c r="V675" s="9"/>
      <c r="AF675" s="9"/>
    </row>
    <row r="676" spans="2:32" ht="15" x14ac:dyDescent="0.2">
      <c r="B676" s="9"/>
      <c r="L676" s="9"/>
      <c r="V676" s="9"/>
      <c r="AF676" s="9"/>
    </row>
    <row r="677" spans="2:32" ht="15" x14ac:dyDescent="0.2">
      <c r="B677" s="9"/>
      <c r="L677" s="9"/>
      <c r="V677" s="9"/>
      <c r="AF677" s="9"/>
    </row>
    <row r="678" spans="2:32" ht="15" x14ac:dyDescent="0.2">
      <c r="B678" s="9"/>
      <c r="L678" s="9"/>
      <c r="V678" s="9"/>
      <c r="AF678" s="9"/>
    </row>
    <row r="679" spans="2:32" ht="15" x14ac:dyDescent="0.2">
      <c r="B679" s="9"/>
      <c r="L679" s="9"/>
      <c r="V679" s="9"/>
      <c r="AF679" s="9"/>
    </row>
    <row r="680" spans="2:32" ht="15" x14ac:dyDescent="0.2">
      <c r="B680" s="9"/>
      <c r="L680" s="9"/>
      <c r="V680" s="9"/>
      <c r="AF680" s="9"/>
    </row>
    <row r="681" spans="2:32" ht="15" x14ac:dyDescent="0.2">
      <c r="B681" s="9"/>
      <c r="L681" s="9"/>
      <c r="V681" s="9"/>
      <c r="AF681" s="9"/>
    </row>
    <row r="682" spans="2:32" ht="15" x14ac:dyDescent="0.2">
      <c r="B682" s="9"/>
      <c r="L682" s="9"/>
      <c r="V682" s="9"/>
      <c r="AF682" s="9"/>
    </row>
    <row r="683" spans="2:32" ht="15" x14ac:dyDescent="0.2">
      <c r="B683" s="9"/>
      <c r="L683" s="9"/>
      <c r="V683" s="9"/>
      <c r="AF683" s="9"/>
    </row>
    <row r="684" spans="2:32" ht="15" x14ac:dyDescent="0.2">
      <c r="B684" s="9"/>
      <c r="L684" s="9"/>
      <c r="V684" s="9"/>
      <c r="AF684" s="9"/>
    </row>
    <row r="685" spans="2:32" ht="15" x14ac:dyDescent="0.2">
      <c r="B685" s="9"/>
      <c r="L685" s="9"/>
      <c r="V685" s="9"/>
      <c r="AF685" s="9"/>
    </row>
    <row r="686" spans="2:32" ht="15" x14ac:dyDescent="0.2">
      <c r="B686" s="9"/>
      <c r="L686" s="9"/>
      <c r="V686" s="9"/>
      <c r="AF686" s="9"/>
    </row>
    <row r="687" spans="2:32" ht="15" x14ac:dyDescent="0.2">
      <c r="B687" s="9"/>
      <c r="L687" s="9"/>
      <c r="V687" s="9"/>
      <c r="AF687" s="9"/>
    </row>
    <row r="688" spans="2:32" ht="15" x14ac:dyDescent="0.2">
      <c r="B688" s="9"/>
      <c r="L688" s="9"/>
      <c r="V688" s="9"/>
      <c r="AF688" s="9"/>
    </row>
    <row r="689" spans="2:32" ht="15" x14ac:dyDescent="0.2">
      <c r="B689" s="9"/>
      <c r="L689" s="9"/>
      <c r="V689" s="9"/>
      <c r="AF689" s="9"/>
    </row>
    <row r="690" spans="2:32" ht="15" x14ac:dyDescent="0.2">
      <c r="B690" s="9"/>
      <c r="L690" s="9"/>
      <c r="V690" s="9"/>
      <c r="AF690" s="9"/>
    </row>
    <row r="691" spans="2:32" ht="15" x14ac:dyDescent="0.2">
      <c r="B691" s="9"/>
      <c r="L691" s="9"/>
      <c r="V691" s="9"/>
      <c r="AF691" s="9"/>
    </row>
    <row r="692" spans="2:32" ht="15" x14ac:dyDescent="0.2">
      <c r="B692" s="9"/>
      <c r="L692" s="9"/>
      <c r="V692" s="9"/>
      <c r="AF692" s="9"/>
    </row>
    <row r="693" spans="2:32" ht="15" x14ac:dyDescent="0.2">
      <c r="B693" s="9"/>
      <c r="L693" s="9"/>
      <c r="V693" s="9"/>
      <c r="AF693" s="9"/>
    </row>
    <row r="694" spans="2:32" ht="15" x14ac:dyDescent="0.2">
      <c r="B694" s="9"/>
      <c r="L694" s="9"/>
      <c r="V694" s="9"/>
      <c r="AF694" s="9"/>
    </row>
    <row r="695" spans="2:32" ht="15" x14ac:dyDescent="0.2">
      <c r="B695" s="9"/>
      <c r="L695" s="9"/>
      <c r="V695" s="9"/>
      <c r="AF695" s="9"/>
    </row>
    <row r="696" spans="2:32" ht="15" x14ac:dyDescent="0.2">
      <c r="B696" s="9"/>
      <c r="L696" s="9"/>
      <c r="V696" s="9"/>
      <c r="AF696" s="9"/>
    </row>
    <row r="697" spans="2:32" ht="15" x14ac:dyDescent="0.2">
      <c r="B697" s="9"/>
      <c r="L697" s="9"/>
      <c r="V697" s="9"/>
      <c r="AF697" s="9"/>
    </row>
    <row r="698" spans="2:32" ht="15" x14ac:dyDescent="0.2">
      <c r="B698" s="9"/>
      <c r="L698" s="9"/>
      <c r="V698" s="9"/>
      <c r="AF698" s="9"/>
    </row>
    <row r="699" spans="2:32" ht="15" x14ac:dyDescent="0.2">
      <c r="B699" s="9"/>
      <c r="L699" s="9"/>
      <c r="V699" s="9"/>
      <c r="AF699" s="9"/>
    </row>
    <row r="700" spans="2:32" ht="15" x14ac:dyDescent="0.2">
      <c r="B700" s="9"/>
      <c r="L700" s="9"/>
      <c r="V700" s="9"/>
      <c r="AF700" s="9"/>
    </row>
    <row r="701" spans="2:32" ht="15" x14ac:dyDescent="0.2">
      <c r="B701" s="9"/>
      <c r="L701" s="9"/>
      <c r="V701" s="9"/>
      <c r="AF701" s="9"/>
    </row>
    <row r="702" spans="2:32" ht="15" x14ac:dyDescent="0.2">
      <c r="B702" s="9"/>
      <c r="L702" s="9"/>
      <c r="V702" s="9"/>
      <c r="AF702" s="9"/>
    </row>
    <row r="703" spans="2:32" ht="15" x14ac:dyDescent="0.2">
      <c r="B703" s="9"/>
      <c r="L703" s="9"/>
      <c r="V703" s="9"/>
      <c r="AF703" s="9"/>
    </row>
    <row r="704" spans="2:32" ht="15" x14ac:dyDescent="0.2">
      <c r="B704" s="9"/>
      <c r="L704" s="9"/>
      <c r="V704" s="9"/>
      <c r="AF704" s="9"/>
    </row>
    <row r="705" spans="2:32" ht="15" x14ac:dyDescent="0.2">
      <c r="B705" s="9"/>
      <c r="L705" s="9"/>
      <c r="V705" s="9"/>
      <c r="AF705" s="9"/>
    </row>
    <row r="706" spans="2:32" ht="15" x14ac:dyDescent="0.2">
      <c r="B706" s="9"/>
      <c r="L706" s="9"/>
      <c r="V706" s="9"/>
      <c r="AF706" s="9"/>
    </row>
    <row r="707" spans="2:32" ht="15" x14ac:dyDescent="0.2">
      <c r="B707" s="9"/>
      <c r="L707" s="9"/>
      <c r="V707" s="9"/>
      <c r="AF707" s="9"/>
    </row>
    <row r="708" spans="2:32" ht="15" x14ac:dyDescent="0.2">
      <c r="B708" s="9"/>
      <c r="L708" s="9"/>
      <c r="V708" s="9"/>
      <c r="AF708" s="9"/>
    </row>
    <row r="709" spans="2:32" ht="15" x14ac:dyDescent="0.2">
      <c r="B709" s="9"/>
      <c r="L709" s="9"/>
      <c r="V709" s="9"/>
      <c r="AF709" s="9"/>
    </row>
    <row r="710" spans="2:32" ht="15" x14ac:dyDescent="0.2">
      <c r="B710" s="9"/>
      <c r="L710" s="9"/>
      <c r="V710" s="9"/>
      <c r="AF710" s="9"/>
    </row>
    <row r="711" spans="2:32" ht="15" x14ac:dyDescent="0.2">
      <c r="B711" s="9"/>
      <c r="L711" s="9"/>
      <c r="V711" s="9"/>
      <c r="AF711" s="9"/>
    </row>
    <row r="712" spans="2:32" ht="15" x14ac:dyDescent="0.2">
      <c r="B712" s="9"/>
      <c r="L712" s="9"/>
      <c r="V712" s="9"/>
      <c r="AF712" s="9"/>
    </row>
    <row r="713" spans="2:32" ht="15" x14ac:dyDescent="0.2">
      <c r="B713" s="9"/>
      <c r="L713" s="9"/>
      <c r="V713" s="9"/>
      <c r="AF713" s="9"/>
    </row>
    <row r="714" spans="2:32" ht="15" x14ac:dyDescent="0.2">
      <c r="B714" s="9"/>
      <c r="L714" s="9"/>
      <c r="V714" s="9"/>
      <c r="AF714" s="9"/>
    </row>
    <row r="715" spans="2:32" ht="15" x14ac:dyDescent="0.2">
      <c r="B715" s="9"/>
      <c r="L715" s="9"/>
      <c r="V715" s="9"/>
      <c r="AF715" s="9"/>
    </row>
    <row r="716" spans="2:32" ht="15" x14ac:dyDescent="0.2">
      <c r="B716" s="9"/>
      <c r="L716" s="9"/>
      <c r="V716" s="9"/>
      <c r="AF716" s="9"/>
    </row>
    <row r="717" spans="2:32" ht="15" x14ac:dyDescent="0.2">
      <c r="B717" s="9"/>
      <c r="L717" s="9"/>
      <c r="V717" s="9"/>
      <c r="AF717" s="9"/>
    </row>
    <row r="718" spans="2:32" ht="15" x14ac:dyDescent="0.2">
      <c r="B718" s="9"/>
      <c r="L718" s="9"/>
      <c r="V718" s="9"/>
      <c r="AF718" s="9"/>
    </row>
    <row r="719" spans="2:32" ht="15" x14ac:dyDescent="0.2">
      <c r="B719" s="9"/>
      <c r="L719" s="9"/>
      <c r="V719" s="9"/>
      <c r="AF719" s="9"/>
    </row>
    <row r="720" spans="2:32" ht="15" x14ac:dyDescent="0.2">
      <c r="B720" s="9"/>
      <c r="L720" s="9"/>
      <c r="V720" s="9"/>
      <c r="AF720" s="9"/>
    </row>
    <row r="721" spans="2:32" ht="15" x14ac:dyDescent="0.2">
      <c r="B721" s="9"/>
      <c r="L721" s="9"/>
      <c r="V721" s="9"/>
      <c r="AF721" s="9"/>
    </row>
    <row r="722" spans="2:32" ht="15" x14ac:dyDescent="0.2">
      <c r="B722" s="9"/>
      <c r="L722" s="9"/>
      <c r="V722" s="9"/>
      <c r="AF722" s="9"/>
    </row>
    <row r="723" spans="2:32" ht="15" x14ac:dyDescent="0.2">
      <c r="B723" s="9"/>
      <c r="L723" s="9"/>
      <c r="V723" s="9"/>
      <c r="AF723" s="9"/>
    </row>
    <row r="724" spans="2:32" ht="15" x14ac:dyDescent="0.2">
      <c r="B724" s="9"/>
      <c r="L724" s="9"/>
      <c r="V724" s="9"/>
      <c r="AF724" s="9"/>
    </row>
    <row r="725" spans="2:32" ht="15" x14ac:dyDescent="0.2">
      <c r="B725" s="9"/>
      <c r="L725" s="9"/>
      <c r="V725" s="9"/>
      <c r="AF725" s="9"/>
    </row>
    <row r="726" spans="2:32" ht="15" x14ac:dyDescent="0.2">
      <c r="B726" s="9"/>
      <c r="L726" s="9"/>
      <c r="V726" s="9"/>
      <c r="AF726" s="9"/>
    </row>
    <row r="727" spans="2:32" ht="15" x14ac:dyDescent="0.2">
      <c r="B727" s="9"/>
      <c r="L727" s="9"/>
      <c r="V727" s="9"/>
      <c r="AF727" s="9"/>
    </row>
    <row r="728" spans="2:32" ht="15" x14ac:dyDescent="0.2">
      <c r="B728" s="9"/>
      <c r="L728" s="9"/>
      <c r="V728" s="9"/>
      <c r="AF728" s="9"/>
    </row>
    <row r="729" spans="2:32" ht="15" x14ac:dyDescent="0.2">
      <c r="B729" s="9"/>
      <c r="L729" s="9"/>
      <c r="V729" s="9"/>
      <c r="AF729" s="9"/>
    </row>
    <row r="730" spans="2:32" ht="15" x14ac:dyDescent="0.2">
      <c r="B730" s="9"/>
      <c r="L730" s="9"/>
      <c r="V730" s="9"/>
      <c r="AF730" s="9"/>
    </row>
    <row r="731" spans="2:32" ht="15" x14ac:dyDescent="0.2">
      <c r="B731" s="9"/>
      <c r="L731" s="9"/>
      <c r="V731" s="9"/>
      <c r="AF731" s="9"/>
    </row>
    <row r="732" spans="2:32" ht="15" x14ac:dyDescent="0.2">
      <c r="B732" s="9"/>
      <c r="L732" s="9"/>
      <c r="V732" s="9"/>
      <c r="AF732" s="9"/>
    </row>
    <row r="733" spans="2:32" ht="15" x14ac:dyDescent="0.2">
      <c r="B733" s="9"/>
      <c r="L733" s="9"/>
      <c r="V733" s="9"/>
      <c r="AF733" s="9"/>
    </row>
    <row r="734" spans="2:32" ht="15" x14ac:dyDescent="0.2">
      <c r="B734" s="9"/>
      <c r="L734" s="9"/>
      <c r="V734" s="9"/>
      <c r="AF734" s="9"/>
    </row>
    <row r="735" spans="2:32" ht="15" x14ac:dyDescent="0.2">
      <c r="B735" s="9"/>
      <c r="L735" s="9"/>
      <c r="V735" s="9"/>
      <c r="AF735" s="9"/>
    </row>
    <row r="736" spans="2:32" ht="15" x14ac:dyDescent="0.2">
      <c r="B736" s="9"/>
      <c r="L736" s="9"/>
      <c r="V736" s="9"/>
      <c r="AF736" s="9"/>
    </row>
    <row r="737" spans="2:32" ht="15" x14ac:dyDescent="0.2">
      <c r="B737" s="9"/>
      <c r="L737" s="9"/>
      <c r="V737" s="9"/>
      <c r="AF737" s="9"/>
    </row>
    <row r="738" spans="2:32" ht="15" x14ac:dyDescent="0.2">
      <c r="B738" s="9"/>
      <c r="L738" s="9"/>
      <c r="V738" s="9"/>
      <c r="AF738" s="9"/>
    </row>
    <row r="739" spans="2:32" ht="15" x14ac:dyDescent="0.2">
      <c r="B739" s="9"/>
      <c r="L739" s="9"/>
      <c r="V739" s="9"/>
      <c r="AF739" s="9"/>
    </row>
    <row r="740" spans="2:32" ht="15" x14ac:dyDescent="0.2">
      <c r="B740" s="9"/>
      <c r="L740" s="9"/>
      <c r="V740" s="9"/>
      <c r="AF740" s="9"/>
    </row>
    <row r="741" spans="2:32" ht="15" x14ac:dyDescent="0.2">
      <c r="B741" s="9"/>
      <c r="L741" s="9"/>
      <c r="V741" s="9"/>
      <c r="AF741" s="9"/>
    </row>
    <row r="742" spans="2:32" ht="15" x14ac:dyDescent="0.2">
      <c r="B742" s="9"/>
      <c r="L742" s="9"/>
      <c r="V742" s="9"/>
      <c r="AF742" s="9"/>
    </row>
    <row r="743" spans="2:32" ht="15" x14ac:dyDescent="0.2">
      <c r="B743" s="9"/>
      <c r="L743" s="9"/>
      <c r="V743" s="9"/>
      <c r="AF743" s="9"/>
    </row>
    <row r="744" spans="2:32" ht="15" x14ac:dyDescent="0.2">
      <c r="B744" s="9"/>
      <c r="L744" s="9"/>
      <c r="V744" s="9"/>
      <c r="AF744" s="9"/>
    </row>
    <row r="745" spans="2:32" ht="15" x14ac:dyDescent="0.2">
      <c r="B745" s="9"/>
      <c r="L745" s="9"/>
      <c r="V745" s="9"/>
      <c r="AF745" s="9"/>
    </row>
    <row r="746" spans="2:32" ht="15" x14ac:dyDescent="0.2">
      <c r="B746" s="9"/>
      <c r="L746" s="9"/>
      <c r="V746" s="9"/>
      <c r="AF746" s="9"/>
    </row>
    <row r="747" spans="2:32" ht="15" x14ac:dyDescent="0.2">
      <c r="B747" s="9"/>
      <c r="L747" s="9"/>
      <c r="V747" s="9"/>
      <c r="AF747" s="9"/>
    </row>
    <row r="748" spans="2:32" ht="15" x14ac:dyDescent="0.2">
      <c r="B748" s="9"/>
      <c r="L748" s="9"/>
      <c r="V748" s="9"/>
      <c r="AF748" s="9"/>
    </row>
    <row r="749" spans="2:32" ht="15" x14ac:dyDescent="0.2">
      <c r="B749" s="9"/>
      <c r="L749" s="9"/>
      <c r="V749" s="9"/>
      <c r="AF749" s="9"/>
    </row>
    <row r="750" spans="2:32" ht="15" x14ac:dyDescent="0.2">
      <c r="B750" s="9"/>
      <c r="L750" s="9"/>
      <c r="V750" s="9"/>
      <c r="AF750" s="9"/>
    </row>
    <row r="751" spans="2:32" ht="15" x14ac:dyDescent="0.2">
      <c r="B751" s="9"/>
      <c r="L751" s="9"/>
      <c r="V751" s="9"/>
      <c r="AF751" s="9"/>
    </row>
    <row r="752" spans="2:32" ht="15" x14ac:dyDescent="0.2">
      <c r="B752" s="9"/>
      <c r="L752" s="9"/>
      <c r="V752" s="9"/>
      <c r="AF752" s="9"/>
    </row>
    <row r="753" spans="2:32" ht="15" x14ac:dyDescent="0.2">
      <c r="B753" s="9"/>
      <c r="L753" s="9"/>
      <c r="V753" s="9"/>
      <c r="AF753" s="9"/>
    </row>
    <row r="754" spans="2:32" ht="15" x14ac:dyDescent="0.2">
      <c r="B754" s="9"/>
      <c r="L754" s="9"/>
      <c r="V754" s="9"/>
      <c r="AF754" s="9"/>
    </row>
    <row r="755" spans="2:32" ht="15" x14ac:dyDescent="0.2">
      <c r="B755" s="9"/>
      <c r="L755" s="9"/>
      <c r="V755" s="9"/>
      <c r="AF755" s="9"/>
    </row>
    <row r="756" spans="2:32" ht="15" x14ac:dyDescent="0.2">
      <c r="B756" s="9"/>
      <c r="L756" s="9"/>
      <c r="V756" s="9"/>
      <c r="AF756" s="9"/>
    </row>
    <row r="757" spans="2:32" ht="15" x14ac:dyDescent="0.2">
      <c r="B757" s="9"/>
      <c r="L757" s="9"/>
      <c r="V757" s="9"/>
      <c r="AF757" s="9"/>
    </row>
    <row r="758" spans="2:32" ht="15" x14ac:dyDescent="0.2">
      <c r="B758" s="9"/>
      <c r="L758" s="9"/>
      <c r="V758" s="9"/>
      <c r="AF758" s="9"/>
    </row>
    <row r="759" spans="2:32" ht="15" x14ac:dyDescent="0.2">
      <c r="B759" s="9"/>
      <c r="L759" s="9"/>
      <c r="V759" s="9"/>
      <c r="AF759" s="9"/>
    </row>
    <row r="760" spans="2:32" ht="15" x14ac:dyDescent="0.2">
      <c r="B760" s="9"/>
      <c r="L760" s="9"/>
      <c r="V760" s="9"/>
      <c r="AF760" s="9"/>
    </row>
    <row r="761" spans="2:32" ht="15" x14ac:dyDescent="0.2">
      <c r="B761" s="9"/>
      <c r="L761" s="9"/>
      <c r="V761" s="9"/>
      <c r="AF761" s="9"/>
    </row>
    <row r="762" spans="2:32" ht="15" x14ac:dyDescent="0.2">
      <c r="B762" s="9"/>
      <c r="L762" s="9"/>
      <c r="V762" s="9"/>
      <c r="AF762" s="9"/>
    </row>
    <row r="763" spans="2:32" ht="15" x14ac:dyDescent="0.2">
      <c r="B763" s="9"/>
      <c r="L763" s="9"/>
      <c r="V763" s="9"/>
      <c r="AF763" s="9"/>
    </row>
    <row r="764" spans="2:32" ht="15" x14ac:dyDescent="0.2">
      <c r="B764" s="9"/>
      <c r="L764" s="9"/>
      <c r="V764" s="9"/>
      <c r="AF764" s="9"/>
    </row>
    <row r="765" spans="2:32" ht="15" x14ac:dyDescent="0.2">
      <c r="B765" s="9"/>
      <c r="L765" s="9"/>
      <c r="V765" s="9"/>
      <c r="AF765" s="9"/>
    </row>
    <row r="766" spans="2:32" ht="15" x14ac:dyDescent="0.2">
      <c r="B766" s="9"/>
      <c r="L766" s="9"/>
      <c r="V766" s="9"/>
      <c r="AF766" s="9"/>
    </row>
    <row r="767" spans="2:32" ht="15" x14ac:dyDescent="0.2">
      <c r="B767" s="9"/>
      <c r="L767" s="9"/>
      <c r="V767" s="9"/>
      <c r="AF767" s="9"/>
    </row>
    <row r="768" spans="2:32" ht="15" x14ac:dyDescent="0.2">
      <c r="B768" s="9"/>
      <c r="L768" s="9"/>
      <c r="V768" s="9"/>
      <c r="AF768" s="9"/>
    </row>
    <row r="769" spans="2:32" ht="15" x14ac:dyDescent="0.2">
      <c r="B769" s="9"/>
      <c r="L769" s="9"/>
      <c r="V769" s="9"/>
      <c r="AF769" s="9"/>
    </row>
    <row r="770" spans="2:32" ht="15" x14ac:dyDescent="0.2">
      <c r="B770" s="9"/>
      <c r="L770" s="9"/>
      <c r="V770" s="9"/>
      <c r="AF770" s="9"/>
    </row>
    <row r="771" spans="2:32" ht="15" x14ac:dyDescent="0.2">
      <c r="B771" s="9"/>
      <c r="L771" s="9"/>
      <c r="V771" s="9"/>
      <c r="AF771" s="9"/>
    </row>
    <row r="772" spans="2:32" ht="15" x14ac:dyDescent="0.2">
      <c r="B772" s="9"/>
      <c r="L772" s="9"/>
      <c r="V772" s="9"/>
      <c r="AF772" s="9"/>
    </row>
    <row r="773" spans="2:32" ht="15" x14ac:dyDescent="0.2">
      <c r="B773" s="9"/>
      <c r="L773" s="9"/>
      <c r="V773" s="9"/>
      <c r="AF773" s="9"/>
    </row>
    <row r="774" spans="2:32" ht="15" x14ac:dyDescent="0.2">
      <c r="B774" s="9"/>
      <c r="L774" s="9"/>
      <c r="V774" s="9"/>
      <c r="AF774" s="9"/>
    </row>
    <row r="775" spans="2:32" ht="15" x14ac:dyDescent="0.2">
      <c r="B775" s="9"/>
      <c r="L775" s="9"/>
      <c r="V775" s="9"/>
      <c r="AF775" s="9"/>
    </row>
    <row r="776" spans="2:32" ht="15" x14ac:dyDescent="0.2">
      <c r="B776" s="9"/>
      <c r="L776" s="9"/>
      <c r="V776" s="9"/>
      <c r="AF776" s="9"/>
    </row>
    <row r="777" spans="2:32" ht="15" x14ac:dyDescent="0.2">
      <c r="B777" s="9"/>
      <c r="L777" s="9"/>
      <c r="V777" s="9"/>
      <c r="AF777" s="9"/>
    </row>
    <row r="778" spans="2:32" ht="15" x14ac:dyDescent="0.2">
      <c r="B778" s="9"/>
      <c r="L778" s="9"/>
      <c r="V778" s="9"/>
      <c r="AF778" s="9"/>
    </row>
    <row r="779" spans="2:32" ht="15" x14ac:dyDescent="0.2">
      <c r="B779" s="9"/>
      <c r="L779" s="9"/>
      <c r="V779" s="9"/>
      <c r="AF779" s="9"/>
    </row>
    <row r="780" spans="2:32" ht="15" x14ac:dyDescent="0.2">
      <c r="B780" s="9"/>
      <c r="L780" s="9"/>
      <c r="V780" s="9"/>
      <c r="AF780" s="9"/>
    </row>
    <row r="781" spans="2:32" ht="15" x14ac:dyDescent="0.2">
      <c r="B781" s="9"/>
      <c r="L781" s="9"/>
      <c r="V781" s="9"/>
      <c r="AF781" s="9"/>
    </row>
    <row r="782" spans="2:32" ht="15" x14ac:dyDescent="0.2">
      <c r="B782" s="9"/>
      <c r="L782" s="9"/>
      <c r="V782" s="9"/>
      <c r="AF782" s="9"/>
    </row>
    <row r="783" spans="2:32" ht="15" x14ac:dyDescent="0.2">
      <c r="B783" s="9"/>
      <c r="L783" s="9"/>
      <c r="V783" s="9"/>
      <c r="AF783" s="9"/>
    </row>
    <row r="784" spans="2:32" ht="15" x14ac:dyDescent="0.2">
      <c r="B784" s="9"/>
      <c r="L784" s="9"/>
      <c r="V784" s="9"/>
      <c r="AF784" s="9"/>
    </row>
    <row r="785" spans="2:32" ht="15" x14ac:dyDescent="0.2">
      <c r="B785" s="9"/>
      <c r="L785" s="9"/>
      <c r="V785" s="9"/>
      <c r="AF785" s="9"/>
    </row>
    <row r="786" spans="2:32" ht="15" x14ac:dyDescent="0.2">
      <c r="B786" s="9"/>
      <c r="L786" s="9"/>
      <c r="V786" s="9"/>
      <c r="AF786" s="9"/>
    </row>
    <row r="787" spans="2:32" ht="15" x14ac:dyDescent="0.2">
      <c r="B787" s="9"/>
      <c r="L787" s="9"/>
      <c r="V787" s="9"/>
      <c r="AF787" s="9"/>
    </row>
    <row r="788" spans="2:32" ht="15" x14ac:dyDescent="0.2">
      <c r="B788" s="9"/>
      <c r="L788" s="9"/>
      <c r="V788" s="9"/>
      <c r="AF788" s="9"/>
    </row>
    <row r="789" spans="2:32" ht="15" x14ac:dyDescent="0.2">
      <c r="B789" s="9"/>
      <c r="L789" s="9"/>
      <c r="V789" s="9"/>
      <c r="AF789" s="9"/>
    </row>
    <row r="790" spans="2:32" ht="15" x14ac:dyDescent="0.2">
      <c r="B790" s="9"/>
      <c r="L790" s="9"/>
      <c r="V790" s="9"/>
      <c r="AF790" s="9"/>
    </row>
    <row r="791" spans="2:32" ht="15" x14ac:dyDescent="0.2">
      <c r="B791" s="9"/>
      <c r="L791" s="9"/>
      <c r="V791" s="9"/>
      <c r="AF791" s="9"/>
    </row>
    <row r="792" spans="2:32" ht="15" x14ac:dyDescent="0.2">
      <c r="B792" s="9"/>
      <c r="L792" s="9"/>
      <c r="V792" s="9"/>
      <c r="AF792" s="9"/>
    </row>
    <row r="793" spans="2:32" ht="15" x14ac:dyDescent="0.2">
      <c r="B793" s="9"/>
      <c r="L793" s="9"/>
      <c r="V793" s="9"/>
      <c r="AF793" s="9"/>
    </row>
    <row r="794" spans="2:32" ht="15" x14ac:dyDescent="0.2">
      <c r="B794" s="9"/>
      <c r="L794" s="9"/>
      <c r="V794" s="9"/>
      <c r="AF794" s="9"/>
    </row>
    <row r="795" spans="2:32" ht="15" x14ac:dyDescent="0.2">
      <c r="B795" s="9"/>
      <c r="L795" s="9"/>
      <c r="V795" s="9"/>
      <c r="AF795" s="9"/>
    </row>
    <row r="796" spans="2:32" ht="15" x14ac:dyDescent="0.2">
      <c r="B796" s="9"/>
      <c r="L796" s="9"/>
      <c r="V796" s="9"/>
      <c r="AF796" s="9"/>
    </row>
    <row r="797" spans="2:32" ht="15" x14ac:dyDescent="0.2">
      <c r="B797" s="9"/>
      <c r="L797" s="9"/>
      <c r="V797" s="9"/>
      <c r="AF797" s="9"/>
    </row>
    <row r="798" spans="2:32" ht="15" x14ac:dyDescent="0.2">
      <c r="B798" s="9"/>
      <c r="L798" s="9"/>
      <c r="V798" s="9"/>
      <c r="AF798" s="9"/>
    </row>
    <row r="799" spans="2:32" ht="15" x14ac:dyDescent="0.2">
      <c r="B799" s="9"/>
      <c r="L799" s="9"/>
      <c r="V799" s="9"/>
      <c r="AF799" s="9"/>
    </row>
    <row r="800" spans="2:32" ht="15" x14ac:dyDescent="0.2">
      <c r="B800" s="9"/>
      <c r="L800" s="9"/>
      <c r="V800" s="9"/>
      <c r="AF800" s="9"/>
    </row>
    <row r="801" spans="2:32" ht="15" x14ac:dyDescent="0.2">
      <c r="B801" s="9"/>
      <c r="L801" s="9"/>
      <c r="V801" s="9"/>
      <c r="AF801" s="9"/>
    </row>
    <row r="802" spans="2:32" ht="15" x14ac:dyDescent="0.2">
      <c r="B802" s="9"/>
      <c r="L802" s="9"/>
      <c r="V802" s="9"/>
      <c r="AF802" s="9"/>
    </row>
    <row r="803" spans="2:32" ht="15" x14ac:dyDescent="0.2">
      <c r="B803" s="9"/>
      <c r="L803" s="9"/>
      <c r="V803" s="9"/>
      <c r="AF803" s="9"/>
    </row>
    <row r="804" spans="2:32" ht="15" x14ac:dyDescent="0.2">
      <c r="B804" s="9"/>
      <c r="L804" s="9"/>
      <c r="V804" s="9"/>
      <c r="AF804" s="9"/>
    </row>
    <row r="805" spans="2:32" ht="15" x14ac:dyDescent="0.2">
      <c r="B805" s="9"/>
      <c r="L805" s="9"/>
      <c r="V805" s="9"/>
      <c r="AF805" s="9"/>
    </row>
    <row r="806" spans="2:32" ht="15" x14ac:dyDescent="0.2">
      <c r="B806" s="9"/>
      <c r="L806" s="9"/>
      <c r="V806" s="9"/>
      <c r="AF806" s="9"/>
    </row>
    <row r="807" spans="2:32" ht="15" x14ac:dyDescent="0.2">
      <c r="B807" s="9"/>
      <c r="L807" s="9"/>
      <c r="V807" s="9"/>
      <c r="AF807" s="9"/>
    </row>
    <row r="808" spans="2:32" ht="15" x14ac:dyDescent="0.2">
      <c r="B808" s="9"/>
      <c r="L808" s="9"/>
      <c r="V808" s="9"/>
      <c r="AF808" s="9"/>
    </row>
    <row r="809" spans="2:32" ht="15" x14ac:dyDescent="0.2">
      <c r="B809" s="9"/>
      <c r="L809" s="9"/>
      <c r="V809" s="9"/>
      <c r="AF809" s="9"/>
    </row>
    <row r="810" spans="2:32" ht="15" x14ac:dyDescent="0.2">
      <c r="B810" s="9"/>
      <c r="L810" s="9"/>
      <c r="V810" s="9"/>
      <c r="AF810" s="9"/>
    </row>
    <row r="811" spans="2:32" ht="15" x14ac:dyDescent="0.2">
      <c r="B811" s="9"/>
      <c r="L811" s="9"/>
      <c r="V811" s="9"/>
      <c r="AF811" s="9"/>
    </row>
    <row r="812" spans="2:32" ht="15" x14ac:dyDescent="0.2">
      <c r="B812" s="9"/>
      <c r="L812" s="9"/>
      <c r="V812" s="9"/>
      <c r="AF812" s="9"/>
    </row>
    <row r="813" spans="2:32" ht="15" x14ac:dyDescent="0.2">
      <c r="B813" s="9"/>
      <c r="L813" s="9"/>
      <c r="V813" s="9"/>
      <c r="AF813" s="9"/>
    </row>
    <row r="814" spans="2:32" ht="15" x14ac:dyDescent="0.2">
      <c r="B814" s="9"/>
      <c r="L814" s="9"/>
      <c r="V814" s="9"/>
      <c r="AF814" s="9"/>
    </row>
    <row r="815" spans="2:32" ht="15" x14ac:dyDescent="0.2">
      <c r="B815" s="9"/>
      <c r="L815" s="9"/>
      <c r="V815" s="9"/>
      <c r="AF815" s="9"/>
    </row>
    <row r="816" spans="2:32" ht="15" x14ac:dyDescent="0.2">
      <c r="B816" s="9"/>
      <c r="L816" s="9"/>
      <c r="V816" s="9"/>
      <c r="AF816" s="9"/>
    </row>
    <row r="817" spans="2:32" ht="15" x14ac:dyDescent="0.2">
      <c r="B817" s="9"/>
      <c r="L817" s="9"/>
      <c r="V817" s="9"/>
      <c r="AF817" s="9"/>
    </row>
    <row r="818" spans="2:32" ht="15" x14ac:dyDescent="0.2">
      <c r="B818" s="9"/>
      <c r="L818" s="9"/>
      <c r="V818" s="9"/>
      <c r="AF818" s="9"/>
    </row>
    <row r="819" spans="2:32" ht="15" x14ac:dyDescent="0.2">
      <c r="B819" s="9"/>
      <c r="L819" s="9"/>
      <c r="V819" s="9"/>
      <c r="AF819" s="9"/>
    </row>
    <row r="820" spans="2:32" ht="15" x14ac:dyDescent="0.2">
      <c r="B820" s="9"/>
      <c r="L820" s="9"/>
      <c r="V820" s="9"/>
      <c r="AF820" s="9"/>
    </row>
    <row r="821" spans="2:32" ht="15" x14ac:dyDescent="0.2">
      <c r="B821" s="9"/>
      <c r="L821" s="9"/>
      <c r="V821" s="9"/>
      <c r="AF821" s="9"/>
    </row>
    <row r="822" spans="2:32" ht="15" x14ac:dyDescent="0.2">
      <c r="B822" s="9"/>
      <c r="L822" s="9"/>
      <c r="V822" s="9"/>
      <c r="AF822" s="9"/>
    </row>
    <row r="823" spans="2:32" ht="15" x14ac:dyDescent="0.2">
      <c r="B823" s="9"/>
      <c r="L823" s="9"/>
      <c r="V823" s="9"/>
      <c r="AF823" s="9"/>
    </row>
    <row r="824" spans="2:32" ht="15" x14ac:dyDescent="0.2">
      <c r="B824" s="9"/>
      <c r="L824" s="9"/>
      <c r="V824" s="9"/>
      <c r="AF824" s="9"/>
    </row>
    <row r="825" spans="2:32" ht="15" x14ac:dyDescent="0.2">
      <c r="B825" s="9"/>
      <c r="L825" s="9"/>
      <c r="V825" s="9"/>
      <c r="AF825" s="9"/>
    </row>
    <row r="826" spans="2:32" ht="15" x14ac:dyDescent="0.2">
      <c r="B826" s="9"/>
      <c r="L826" s="9"/>
      <c r="V826" s="9"/>
      <c r="AF826" s="9"/>
    </row>
    <row r="827" spans="2:32" ht="15" x14ac:dyDescent="0.2">
      <c r="B827" s="9"/>
      <c r="L827" s="9"/>
      <c r="V827" s="9"/>
      <c r="AF827" s="9"/>
    </row>
    <row r="828" spans="2:32" ht="15" x14ac:dyDescent="0.2">
      <c r="B828" s="9"/>
      <c r="L828" s="9"/>
      <c r="V828" s="9"/>
      <c r="AF828" s="9"/>
    </row>
    <row r="829" spans="2:32" ht="15" x14ac:dyDescent="0.2">
      <c r="B829" s="9"/>
      <c r="L829" s="9"/>
      <c r="V829" s="9"/>
      <c r="AF829" s="9"/>
    </row>
    <row r="830" spans="2:32" ht="15" x14ac:dyDescent="0.2">
      <c r="B830" s="9"/>
      <c r="L830" s="9"/>
      <c r="V830" s="9"/>
      <c r="AF830" s="9"/>
    </row>
    <row r="831" spans="2:32" ht="15" x14ac:dyDescent="0.2">
      <c r="B831" s="9"/>
      <c r="L831" s="9"/>
      <c r="V831" s="9"/>
      <c r="AF831" s="9"/>
    </row>
    <row r="832" spans="2:32" ht="15" x14ac:dyDescent="0.2">
      <c r="B832" s="9"/>
      <c r="L832" s="9"/>
      <c r="V832" s="9"/>
      <c r="AF832" s="9"/>
    </row>
    <row r="833" spans="2:32" ht="15" x14ac:dyDescent="0.2">
      <c r="B833" s="9"/>
      <c r="L833" s="9"/>
      <c r="V833" s="9"/>
      <c r="AF833" s="9"/>
    </row>
    <row r="834" spans="2:32" ht="15" x14ac:dyDescent="0.2">
      <c r="B834" s="9"/>
      <c r="L834" s="9"/>
      <c r="V834" s="9"/>
      <c r="AF834" s="9"/>
    </row>
    <row r="835" spans="2:32" ht="15" x14ac:dyDescent="0.2">
      <c r="B835" s="9"/>
      <c r="L835" s="9"/>
      <c r="V835" s="9"/>
      <c r="AF835" s="9"/>
    </row>
    <row r="836" spans="2:32" ht="15" x14ac:dyDescent="0.2">
      <c r="B836" s="9"/>
      <c r="L836" s="9"/>
      <c r="V836" s="9"/>
      <c r="AF836" s="9"/>
    </row>
    <row r="837" spans="2:32" ht="15" x14ac:dyDescent="0.2">
      <c r="B837" s="9"/>
      <c r="L837" s="9"/>
      <c r="V837" s="9"/>
      <c r="AF837" s="9"/>
    </row>
    <row r="838" spans="2:32" ht="15" x14ac:dyDescent="0.2">
      <c r="B838" s="9"/>
      <c r="L838" s="9"/>
      <c r="V838" s="9"/>
      <c r="AF838" s="9"/>
    </row>
    <row r="839" spans="2:32" ht="15" x14ac:dyDescent="0.2">
      <c r="B839" s="9"/>
      <c r="L839" s="9"/>
      <c r="V839" s="9"/>
      <c r="AF839" s="9"/>
    </row>
    <row r="840" spans="2:32" ht="15" x14ac:dyDescent="0.2">
      <c r="B840" s="9"/>
      <c r="L840" s="9"/>
      <c r="V840" s="9"/>
      <c r="AF840" s="9"/>
    </row>
    <row r="841" spans="2:32" ht="15" x14ac:dyDescent="0.2">
      <c r="B841" s="9"/>
      <c r="L841" s="9"/>
      <c r="V841" s="9"/>
      <c r="AF841" s="9"/>
    </row>
    <row r="842" spans="2:32" ht="15" x14ac:dyDescent="0.2">
      <c r="B842" s="9"/>
      <c r="L842" s="9"/>
      <c r="V842" s="9"/>
      <c r="AF842" s="9"/>
    </row>
    <row r="843" spans="2:32" ht="15" x14ac:dyDescent="0.2">
      <c r="B843" s="9"/>
      <c r="L843" s="9"/>
      <c r="V843" s="9"/>
      <c r="AF843" s="9"/>
    </row>
    <row r="844" spans="2:32" ht="15" x14ac:dyDescent="0.2">
      <c r="B844" s="9"/>
      <c r="L844" s="9"/>
      <c r="V844" s="9"/>
      <c r="AF844" s="9"/>
    </row>
    <row r="845" spans="2:32" ht="15" x14ac:dyDescent="0.2">
      <c r="B845" s="9"/>
      <c r="L845" s="9"/>
      <c r="V845" s="9"/>
      <c r="AF845" s="9"/>
    </row>
    <row r="846" spans="2:32" ht="15" x14ac:dyDescent="0.2">
      <c r="B846" s="9"/>
      <c r="L846" s="9"/>
      <c r="V846" s="9"/>
      <c r="AF846" s="9"/>
    </row>
    <row r="847" spans="2:32" ht="15" x14ac:dyDescent="0.2">
      <c r="B847" s="9"/>
      <c r="L847" s="9"/>
      <c r="V847" s="9"/>
      <c r="AF847" s="9"/>
    </row>
    <row r="848" spans="2:32" ht="15" x14ac:dyDescent="0.2">
      <c r="B848" s="9"/>
      <c r="L848" s="9"/>
      <c r="V848" s="9"/>
      <c r="AF848" s="9"/>
    </row>
    <row r="849" spans="2:32" ht="15" x14ac:dyDescent="0.2">
      <c r="B849" s="9"/>
      <c r="L849" s="9"/>
      <c r="V849" s="9"/>
      <c r="AF849" s="9"/>
    </row>
    <row r="850" spans="2:32" ht="15" x14ac:dyDescent="0.2">
      <c r="B850" s="9"/>
      <c r="L850" s="9"/>
      <c r="V850" s="9"/>
      <c r="AF850" s="9"/>
    </row>
    <row r="851" spans="2:32" ht="15" x14ac:dyDescent="0.2">
      <c r="B851" s="9"/>
      <c r="L851" s="9"/>
      <c r="V851" s="9"/>
      <c r="AF851" s="9"/>
    </row>
    <row r="852" spans="2:32" ht="15" x14ac:dyDescent="0.2">
      <c r="B852" s="9"/>
      <c r="L852" s="9"/>
      <c r="V852" s="9"/>
      <c r="AF852" s="9"/>
    </row>
    <row r="853" spans="2:32" ht="15" x14ac:dyDescent="0.2">
      <c r="B853" s="9"/>
      <c r="L853" s="9"/>
      <c r="V853" s="9"/>
      <c r="AF853" s="9"/>
    </row>
    <row r="854" spans="2:32" ht="15" x14ac:dyDescent="0.2">
      <c r="B854" s="9"/>
      <c r="L854" s="9"/>
      <c r="V854" s="9"/>
      <c r="AF854" s="9"/>
    </row>
    <row r="855" spans="2:32" ht="15" x14ac:dyDescent="0.2">
      <c r="B855" s="9"/>
      <c r="L855" s="9"/>
      <c r="V855" s="9"/>
      <c r="AF855" s="9"/>
    </row>
    <row r="856" spans="2:32" ht="15" x14ac:dyDescent="0.2">
      <c r="B856" s="9"/>
      <c r="L856" s="9"/>
      <c r="V856" s="9"/>
      <c r="AF856" s="9"/>
    </row>
    <row r="857" spans="2:32" ht="15" x14ac:dyDescent="0.2">
      <c r="B857" s="9"/>
      <c r="L857" s="9"/>
      <c r="V857" s="9"/>
      <c r="AF857" s="9"/>
    </row>
    <row r="858" spans="2:32" ht="15" x14ac:dyDescent="0.2">
      <c r="B858" s="9"/>
      <c r="L858" s="9"/>
      <c r="V858" s="9"/>
      <c r="AF858" s="9"/>
    </row>
    <row r="859" spans="2:32" ht="15" x14ac:dyDescent="0.2">
      <c r="B859" s="9"/>
      <c r="L859" s="9"/>
      <c r="V859" s="9"/>
      <c r="AF859" s="9"/>
    </row>
    <row r="860" spans="2:32" ht="15" x14ac:dyDescent="0.2">
      <c r="B860" s="9"/>
      <c r="L860" s="9"/>
      <c r="V860" s="9"/>
      <c r="AF860" s="9"/>
    </row>
    <row r="861" spans="2:32" ht="15" x14ac:dyDescent="0.2">
      <c r="B861" s="9"/>
      <c r="L861" s="9"/>
      <c r="V861" s="9"/>
      <c r="AF861" s="9"/>
    </row>
    <row r="862" spans="2:32" ht="15" x14ac:dyDescent="0.2">
      <c r="B862" s="9"/>
      <c r="L862" s="9"/>
      <c r="V862" s="9"/>
      <c r="AF862" s="9"/>
    </row>
    <row r="863" spans="2:32" ht="15" x14ac:dyDescent="0.2">
      <c r="B863" s="9"/>
      <c r="L863" s="9"/>
      <c r="V863" s="9"/>
      <c r="AF863" s="9"/>
    </row>
    <row r="864" spans="2:32" ht="15" x14ac:dyDescent="0.2">
      <c r="B864" s="9"/>
      <c r="L864" s="9"/>
      <c r="V864" s="9"/>
      <c r="AF864" s="9"/>
    </row>
    <row r="865" spans="2:32" ht="15" x14ac:dyDescent="0.2">
      <c r="B865" s="9"/>
      <c r="L865" s="9"/>
      <c r="V865" s="9"/>
      <c r="AF865" s="9"/>
    </row>
    <row r="866" spans="2:32" ht="15" x14ac:dyDescent="0.2">
      <c r="B866" s="9"/>
      <c r="L866" s="9"/>
      <c r="V866" s="9"/>
      <c r="AF866" s="9"/>
    </row>
    <row r="867" spans="2:32" ht="15" x14ac:dyDescent="0.2">
      <c r="B867" s="9"/>
      <c r="L867" s="9"/>
      <c r="V867" s="9"/>
      <c r="AF867" s="9"/>
    </row>
    <row r="868" spans="2:32" ht="15" x14ac:dyDescent="0.2">
      <c r="B868" s="9"/>
      <c r="L868" s="9"/>
      <c r="V868" s="9"/>
      <c r="AF868" s="9"/>
    </row>
    <row r="869" spans="2:32" ht="15" x14ac:dyDescent="0.2">
      <c r="B869" s="9"/>
      <c r="L869" s="9"/>
      <c r="V869" s="9"/>
      <c r="AF869" s="9"/>
    </row>
    <row r="870" spans="2:32" ht="15" x14ac:dyDescent="0.2">
      <c r="B870" s="9"/>
      <c r="L870" s="9"/>
      <c r="V870" s="9"/>
      <c r="AF870" s="9"/>
    </row>
    <row r="871" spans="2:32" ht="15" x14ac:dyDescent="0.2">
      <c r="B871" s="9"/>
      <c r="L871" s="9"/>
      <c r="V871" s="9"/>
      <c r="AF871" s="9"/>
    </row>
    <row r="872" spans="2:32" ht="15" x14ac:dyDescent="0.2">
      <c r="B872" s="9"/>
      <c r="L872" s="9"/>
      <c r="V872" s="9"/>
      <c r="AF872" s="9"/>
    </row>
    <row r="873" spans="2:32" ht="15" x14ac:dyDescent="0.2">
      <c r="B873" s="9"/>
      <c r="L873" s="9"/>
      <c r="V873" s="9"/>
      <c r="AF873" s="9"/>
    </row>
    <row r="874" spans="2:32" ht="15" x14ac:dyDescent="0.2">
      <c r="B874" s="9"/>
      <c r="L874" s="9"/>
      <c r="V874" s="9"/>
      <c r="AF874" s="9"/>
    </row>
    <row r="875" spans="2:32" ht="15" x14ac:dyDescent="0.2">
      <c r="B875" s="9"/>
      <c r="L875" s="9"/>
      <c r="V875" s="9"/>
      <c r="AF875" s="9"/>
    </row>
    <row r="876" spans="2:32" ht="15" x14ac:dyDescent="0.2">
      <c r="B876" s="9"/>
      <c r="L876" s="9"/>
      <c r="V876" s="9"/>
      <c r="AF876" s="9"/>
    </row>
    <row r="877" spans="2:32" ht="15" x14ac:dyDescent="0.2">
      <c r="B877" s="9"/>
      <c r="L877" s="9"/>
      <c r="V877" s="9"/>
      <c r="AF877" s="9"/>
    </row>
    <row r="878" spans="2:32" ht="15" x14ac:dyDescent="0.2">
      <c r="B878" s="9"/>
      <c r="L878" s="9"/>
      <c r="V878" s="9"/>
      <c r="AF878" s="9"/>
    </row>
    <row r="879" spans="2:32" ht="15" x14ac:dyDescent="0.2">
      <c r="B879" s="9"/>
      <c r="L879" s="9"/>
      <c r="V879" s="9"/>
      <c r="AF879" s="9"/>
    </row>
    <row r="880" spans="2:32" ht="15" x14ac:dyDescent="0.2">
      <c r="B880" s="9"/>
      <c r="L880" s="9"/>
      <c r="V880" s="9"/>
      <c r="AF880" s="9"/>
    </row>
    <row r="881" spans="2:32" ht="15" x14ac:dyDescent="0.2">
      <c r="B881" s="9"/>
      <c r="L881" s="9"/>
      <c r="V881" s="9"/>
      <c r="AF881" s="9"/>
    </row>
    <row r="882" spans="2:32" ht="15" x14ac:dyDescent="0.2">
      <c r="B882" s="9"/>
      <c r="L882" s="9"/>
      <c r="V882" s="9"/>
      <c r="AF882" s="9"/>
    </row>
    <row r="883" spans="2:32" ht="15" x14ac:dyDescent="0.2">
      <c r="B883" s="9"/>
      <c r="L883" s="9"/>
      <c r="V883" s="9"/>
      <c r="AF883" s="9"/>
    </row>
    <row r="884" spans="2:32" ht="15" x14ac:dyDescent="0.2">
      <c r="B884" s="9"/>
      <c r="L884" s="9"/>
      <c r="V884" s="9"/>
      <c r="AF884" s="9"/>
    </row>
    <row r="885" spans="2:32" ht="15" x14ac:dyDescent="0.2">
      <c r="B885" s="9"/>
      <c r="L885" s="9"/>
      <c r="V885" s="9"/>
      <c r="AF885" s="9"/>
    </row>
    <row r="886" spans="2:32" ht="15" x14ac:dyDescent="0.2">
      <c r="B886" s="9"/>
      <c r="L886" s="9"/>
      <c r="V886" s="9"/>
      <c r="AF886" s="9"/>
    </row>
    <row r="887" spans="2:32" ht="15" x14ac:dyDescent="0.2">
      <c r="B887" s="9"/>
      <c r="L887" s="9"/>
      <c r="V887" s="9"/>
      <c r="AF887" s="9"/>
    </row>
    <row r="888" spans="2:32" ht="15" x14ac:dyDescent="0.2">
      <c r="B888" s="9"/>
      <c r="L888" s="9"/>
      <c r="V888" s="9"/>
      <c r="AF888" s="9"/>
    </row>
    <row r="889" spans="2:32" ht="15" x14ac:dyDescent="0.2">
      <c r="B889" s="9"/>
      <c r="L889" s="9"/>
      <c r="V889" s="9"/>
      <c r="AF889" s="9"/>
    </row>
    <row r="890" spans="2:32" ht="15" x14ac:dyDescent="0.2">
      <c r="B890" s="9"/>
      <c r="L890" s="9"/>
      <c r="V890" s="9"/>
      <c r="AF890" s="9"/>
    </row>
    <row r="891" spans="2:32" ht="15" x14ac:dyDescent="0.2">
      <c r="B891" s="9"/>
      <c r="L891" s="9"/>
      <c r="V891" s="9"/>
      <c r="AF891" s="9"/>
    </row>
    <row r="892" spans="2:32" ht="15" x14ac:dyDescent="0.2">
      <c r="B892" s="9"/>
      <c r="L892" s="9"/>
      <c r="V892" s="9"/>
      <c r="AF892" s="9"/>
    </row>
    <row r="893" spans="2:32" ht="15" x14ac:dyDescent="0.2">
      <c r="B893" s="9"/>
      <c r="L893" s="9"/>
      <c r="V893" s="9"/>
      <c r="AF893" s="9"/>
    </row>
    <row r="894" spans="2:32" ht="15" x14ac:dyDescent="0.2">
      <c r="B894" s="9"/>
      <c r="L894" s="9"/>
      <c r="V894" s="9"/>
      <c r="AF894" s="9"/>
    </row>
    <row r="895" spans="2:32" ht="15" x14ac:dyDescent="0.2">
      <c r="B895" s="9"/>
      <c r="L895" s="9"/>
      <c r="V895" s="9"/>
      <c r="AF895" s="9"/>
    </row>
    <row r="896" spans="2:32" ht="15" x14ac:dyDescent="0.2">
      <c r="B896" s="9"/>
      <c r="L896" s="9"/>
      <c r="V896" s="9"/>
      <c r="AF896" s="9"/>
    </row>
    <row r="897" spans="2:32" ht="15" x14ac:dyDescent="0.2">
      <c r="B897" s="9"/>
      <c r="L897" s="9"/>
      <c r="V897" s="9"/>
      <c r="AF897" s="9"/>
    </row>
    <row r="898" spans="2:32" ht="15" x14ac:dyDescent="0.2">
      <c r="B898" s="9"/>
      <c r="L898" s="9"/>
      <c r="V898" s="9"/>
      <c r="AF898" s="9"/>
    </row>
    <row r="899" spans="2:32" ht="15" x14ac:dyDescent="0.2">
      <c r="B899" s="9"/>
      <c r="L899" s="9"/>
      <c r="V899" s="9"/>
      <c r="AF899" s="9"/>
    </row>
    <row r="900" spans="2:32" ht="15" x14ac:dyDescent="0.2">
      <c r="B900" s="9"/>
      <c r="L900" s="9"/>
      <c r="V900" s="9"/>
      <c r="AF900" s="9"/>
    </row>
    <row r="901" spans="2:32" ht="15" x14ac:dyDescent="0.2">
      <c r="B901" s="9"/>
      <c r="L901" s="9"/>
      <c r="V901" s="9"/>
      <c r="AF901" s="9"/>
    </row>
    <row r="902" spans="2:32" ht="15" x14ac:dyDescent="0.2">
      <c r="B902" s="9"/>
      <c r="L902" s="9"/>
      <c r="V902" s="9"/>
      <c r="AF902" s="9"/>
    </row>
    <row r="903" spans="2:32" ht="15" x14ac:dyDescent="0.2">
      <c r="B903" s="9"/>
      <c r="L903" s="9"/>
      <c r="V903" s="9"/>
      <c r="AF903" s="9"/>
    </row>
    <row r="904" spans="2:32" ht="15" x14ac:dyDescent="0.2">
      <c r="B904" s="9"/>
      <c r="L904" s="9"/>
      <c r="V904" s="9"/>
      <c r="AF904" s="9"/>
    </row>
    <row r="905" spans="2:32" ht="15" x14ac:dyDescent="0.2">
      <c r="B905" s="9"/>
      <c r="L905" s="9"/>
      <c r="V905" s="9"/>
      <c r="AF905" s="9"/>
    </row>
    <row r="906" spans="2:32" ht="15" x14ac:dyDescent="0.2">
      <c r="B906" s="9"/>
      <c r="L906" s="9"/>
      <c r="V906" s="9"/>
      <c r="AF906" s="9"/>
    </row>
    <row r="907" spans="2:32" ht="15" x14ac:dyDescent="0.2">
      <c r="B907" s="9"/>
      <c r="L907" s="9"/>
      <c r="V907" s="9"/>
      <c r="AF907" s="9"/>
    </row>
    <row r="908" spans="2:32" ht="15" x14ac:dyDescent="0.2">
      <c r="B908" s="9"/>
      <c r="L908" s="9"/>
      <c r="V908" s="9"/>
      <c r="AF908" s="9"/>
    </row>
    <row r="909" spans="2:32" ht="15" x14ac:dyDescent="0.2">
      <c r="B909" s="9"/>
      <c r="L909" s="9"/>
      <c r="V909" s="9"/>
      <c r="AF909" s="9"/>
    </row>
    <row r="910" spans="2:32" ht="15" x14ac:dyDescent="0.2">
      <c r="B910" s="9"/>
      <c r="L910" s="9"/>
      <c r="V910" s="9"/>
      <c r="AF910" s="9"/>
    </row>
    <row r="911" spans="2:32" ht="15" x14ac:dyDescent="0.2">
      <c r="B911" s="9"/>
      <c r="L911" s="9"/>
      <c r="V911" s="9"/>
      <c r="AF911" s="9"/>
    </row>
    <row r="912" spans="2:32" ht="15" x14ac:dyDescent="0.2">
      <c r="B912" s="9"/>
      <c r="L912" s="9"/>
      <c r="V912" s="9"/>
      <c r="AF912" s="9"/>
    </row>
    <row r="913" spans="2:32" ht="15" x14ac:dyDescent="0.2">
      <c r="B913" s="9"/>
      <c r="L913" s="9"/>
      <c r="V913" s="9"/>
      <c r="AF913" s="9"/>
    </row>
    <row r="914" spans="2:32" ht="15" x14ac:dyDescent="0.2">
      <c r="B914" s="9"/>
      <c r="L914" s="9"/>
      <c r="V914" s="9"/>
      <c r="AF914" s="9"/>
    </row>
    <row r="915" spans="2:32" ht="15" x14ac:dyDescent="0.2">
      <c r="B915" s="9"/>
      <c r="L915" s="9"/>
      <c r="V915" s="9"/>
      <c r="AF915" s="9"/>
    </row>
    <row r="916" spans="2:32" ht="15" x14ac:dyDescent="0.2">
      <c r="B916" s="9"/>
      <c r="L916" s="9"/>
      <c r="V916" s="9"/>
      <c r="AF916" s="9"/>
    </row>
    <row r="917" spans="2:32" ht="15" x14ac:dyDescent="0.2">
      <c r="B917" s="9"/>
      <c r="L917" s="9"/>
      <c r="V917" s="9"/>
      <c r="AF917" s="9"/>
    </row>
    <row r="918" spans="2:32" ht="15" x14ac:dyDescent="0.2">
      <c r="B918" s="9"/>
      <c r="L918" s="9"/>
      <c r="V918" s="9"/>
      <c r="AF918" s="9"/>
    </row>
    <row r="919" spans="2:32" ht="15" x14ac:dyDescent="0.2">
      <c r="B919" s="9"/>
      <c r="L919" s="9"/>
      <c r="V919" s="9"/>
      <c r="AF919" s="9"/>
    </row>
    <row r="920" spans="2:32" ht="15" x14ac:dyDescent="0.2">
      <c r="B920" s="9"/>
      <c r="L920" s="9"/>
      <c r="V920" s="9"/>
      <c r="AF920" s="9"/>
    </row>
    <row r="921" spans="2:32" ht="15" x14ac:dyDescent="0.2">
      <c r="B921" s="9"/>
      <c r="L921" s="9"/>
      <c r="V921" s="9"/>
      <c r="AF921" s="9"/>
    </row>
    <row r="922" spans="2:32" ht="15" x14ac:dyDescent="0.2">
      <c r="B922" s="9"/>
      <c r="L922" s="9"/>
      <c r="V922" s="9"/>
      <c r="AF922" s="9"/>
    </row>
    <row r="923" spans="2:32" ht="15" x14ac:dyDescent="0.2">
      <c r="B923" s="9"/>
      <c r="L923" s="9"/>
      <c r="V923" s="9"/>
      <c r="AF923" s="9"/>
    </row>
    <row r="924" spans="2:32" ht="15" x14ac:dyDescent="0.2">
      <c r="B924" s="9"/>
      <c r="L924" s="9"/>
      <c r="V924" s="9"/>
      <c r="AF924" s="9"/>
    </row>
    <row r="925" spans="2:32" ht="15" x14ac:dyDescent="0.2">
      <c r="B925" s="9"/>
      <c r="L925" s="9"/>
      <c r="V925" s="9"/>
      <c r="AF925" s="9"/>
    </row>
    <row r="926" spans="2:32" ht="15" x14ac:dyDescent="0.2">
      <c r="B926" s="9"/>
      <c r="L926" s="9"/>
      <c r="V926" s="9"/>
      <c r="AF926" s="9"/>
    </row>
    <row r="927" spans="2:32" ht="15" x14ac:dyDescent="0.2">
      <c r="B927" s="9"/>
      <c r="L927" s="9"/>
      <c r="V927" s="9"/>
      <c r="AF927" s="9"/>
    </row>
    <row r="928" spans="2:32" ht="15" x14ac:dyDescent="0.2">
      <c r="B928" s="9"/>
      <c r="L928" s="9"/>
      <c r="V928" s="9"/>
      <c r="AF928" s="9"/>
    </row>
    <row r="929" spans="2:32" ht="15" x14ac:dyDescent="0.2">
      <c r="B929" s="9"/>
      <c r="L929" s="9"/>
      <c r="V929" s="9"/>
      <c r="AF929" s="9"/>
    </row>
    <row r="930" spans="2:32" ht="15" x14ac:dyDescent="0.2">
      <c r="B930" s="9"/>
      <c r="L930" s="9"/>
      <c r="V930" s="9"/>
      <c r="AF930" s="9"/>
    </row>
    <row r="931" spans="2:32" ht="15" x14ac:dyDescent="0.2">
      <c r="B931" s="9"/>
      <c r="L931" s="9"/>
      <c r="V931" s="9"/>
      <c r="AF931" s="9"/>
    </row>
    <row r="932" spans="2:32" ht="15" x14ac:dyDescent="0.2">
      <c r="B932" s="9"/>
      <c r="L932" s="9"/>
      <c r="V932" s="9"/>
      <c r="AF932" s="9"/>
    </row>
    <row r="933" spans="2:32" ht="15" x14ac:dyDescent="0.2">
      <c r="B933" s="9"/>
      <c r="L933" s="9"/>
      <c r="V933" s="9"/>
      <c r="AF933" s="9"/>
    </row>
    <row r="934" spans="2:32" ht="15" x14ac:dyDescent="0.2">
      <c r="B934" s="9"/>
      <c r="L934" s="9"/>
      <c r="V934" s="9"/>
      <c r="AF934" s="9"/>
    </row>
    <row r="935" spans="2:32" ht="15" x14ac:dyDescent="0.2">
      <c r="B935" s="9"/>
      <c r="L935" s="9"/>
      <c r="V935" s="9"/>
      <c r="AF935" s="9"/>
    </row>
    <row r="936" spans="2:32" ht="15" x14ac:dyDescent="0.2">
      <c r="B936" s="9"/>
      <c r="L936" s="9"/>
      <c r="V936" s="9"/>
      <c r="AF936" s="9"/>
    </row>
    <row r="937" spans="2:32" ht="15" x14ac:dyDescent="0.2">
      <c r="B937" s="9"/>
      <c r="L937" s="9"/>
      <c r="V937" s="9"/>
      <c r="AF937" s="9"/>
    </row>
    <row r="938" spans="2:32" ht="15" x14ac:dyDescent="0.2">
      <c r="B938" s="9"/>
      <c r="L938" s="9"/>
      <c r="V938" s="9"/>
      <c r="AF938" s="9"/>
    </row>
    <row r="939" spans="2:32" ht="15" x14ac:dyDescent="0.2">
      <c r="B939" s="9"/>
      <c r="L939" s="9"/>
      <c r="V939" s="9"/>
      <c r="AF939" s="9"/>
    </row>
    <row r="940" spans="2:32" ht="15" x14ac:dyDescent="0.2">
      <c r="B940" s="9"/>
      <c r="L940" s="9"/>
      <c r="V940" s="9"/>
      <c r="AF940" s="9"/>
    </row>
    <row r="941" spans="2:32" ht="15" x14ac:dyDescent="0.2">
      <c r="B941" s="9"/>
      <c r="L941" s="9"/>
      <c r="V941" s="9"/>
      <c r="AF941" s="9"/>
    </row>
    <row r="942" spans="2:32" ht="15" x14ac:dyDescent="0.2">
      <c r="B942" s="9"/>
      <c r="L942" s="9"/>
      <c r="V942" s="9"/>
      <c r="AF942" s="9"/>
    </row>
    <row r="943" spans="2:32" ht="15" x14ac:dyDescent="0.2">
      <c r="B943" s="9"/>
      <c r="L943" s="9"/>
      <c r="V943" s="9"/>
      <c r="AF943" s="9"/>
    </row>
    <row r="944" spans="2:32" ht="15" x14ac:dyDescent="0.2">
      <c r="B944" s="9"/>
      <c r="L944" s="9"/>
      <c r="V944" s="9"/>
      <c r="AF944" s="9"/>
    </row>
    <row r="945" spans="2:32" ht="15" x14ac:dyDescent="0.2">
      <c r="B945" s="9"/>
      <c r="L945" s="9"/>
      <c r="V945" s="9"/>
      <c r="AF945" s="9"/>
    </row>
    <row r="946" spans="2:32" ht="15" x14ac:dyDescent="0.2">
      <c r="B946" s="9"/>
      <c r="L946" s="9"/>
      <c r="V946" s="9"/>
      <c r="AF946" s="9"/>
    </row>
    <row r="947" spans="2:32" ht="15" x14ac:dyDescent="0.2">
      <c r="B947" s="9"/>
      <c r="L947" s="9"/>
      <c r="V947" s="9"/>
      <c r="AF947" s="9"/>
    </row>
    <row r="948" spans="2:32" ht="15" x14ac:dyDescent="0.2">
      <c r="B948" s="9"/>
      <c r="L948" s="9"/>
      <c r="V948" s="9"/>
      <c r="AF948" s="9"/>
    </row>
    <row r="949" spans="2:32" ht="15" x14ac:dyDescent="0.2">
      <c r="B949" s="9"/>
      <c r="L949" s="9"/>
      <c r="V949" s="9"/>
      <c r="AF949" s="9"/>
    </row>
    <row r="950" spans="2:32" ht="15" x14ac:dyDescent="0.2">
      <c r="B950" s="9"/>
      <c r="L950" s="9"/>
      <c r="V950" s="9"/>
      <c r="AF950" s="9"/>
    </row>
    <row r="951" spans="2:32" ht="15" x14ac:dyDescent="0.2">
      <c r="B951" s="9"/>
      <c r="L951" s="9"/>
      <c r="V951" s="9"/>
      <c r="AF951" s="9"/>
    </row>
    <row r="952" spans="2:32" ht="15" x14ac:dyDescent="0.2">
      <c r="B952" s="9"/>
      <c r="L952" s="9"/>
      <c r="V952" s="9"/>
      <c r="AF952" s="9"/>
    </row>
    <row r="953" spans="2:32" ht="15" x14ac:dyDescent="0.2">
      <c r="B953" s="9"/>
      <c r="L953" s="9"/>
      <c r="V953" s="9"/>
      <c r="AF953" s="9"/>
    </row>
    <row r="954" spans="2:32" ht="15" x14ac:dyDescent="0.2">
      <c r="B954" s="9"/>
      <c r="L954" s="9"/>
      <c r="V954" s="9"/>
      <c r="AF954" s="9"/>
    </row>
    <row r="955" spans="2:32" ht="15" x14ac:dyDescent="0.2">
      <c r="B955" s="9"/>
      <c r="L955" s="9"/>
      <c r="V955" s="9"/>
      <c r="AF955" s="9"/>
    </row>
    <row r="956" spans="2:32" ht="15" x14ac:dyDescent="0.2">
      <c r="B956" s="9"/>
      <c r="L956" s="9"/>
      <c r="V956" s="9"/>
      <c r="AF956" s="9"/>
    </row>
    <row r="957" spans="2:32" ht="15" x14ac:dyDescent="0.2">
      <c r="B957" s="9"/>
      <c r="L957" s="9"/>
      <c r="V957" s="9"/>
      <c r="AF957" s="9"/>
    </row>
    <row r="958" spans="2:32" ht="15" x14ac:dyDescent="0.2">
      <c r="B958" s="9"/>
      <c r="L958" s="9"/>
      <c r="V958" s="9"/>
      <c r="AF958" s="9"/>
    </row>
    <row r="959" spans="2:32" ht="15" x14ac:dyDescent="0.2">
      <c r="B959" s="9"/>
      <c r="L959" s="9"/>
      <c r="V959" s="9"/>
      <c r="AF959" s="9"/>
    </row>
    <row r="960" spans="2:32" ht="15" x14ac:dyDescent="0.2">
      <c r="B960" s="9"/>
      <c r="L960" s="9"/>
      <c r="V960" s="9"/>
      <c r="AF960" s="9"/>
    </row>
    <row r="961" spans="2:32" ht="15" x14ac:dyDescent="0.2">
      <c r="B961" s="9"/>
      <c r="L961" s="9"/>
      <c r="V961" s="9"/>
      <c r="AF961" s="9"/>
    </row>
    <row r="962" spans="2:32" ht="15" x14ac:dyDescent="0.2">
      <c r="B962" s="9"/>
      <c r="L962" s="9"/>
      <c r="V962" s="9"/>
      <c r="AF962" s="9"/>
    </row>
    <row r="963" spans="2:32" ht="15" x14ac:dyDescent="0.2">
      <c r="B963" s="9"/>
      <c r="L963" s="9"/>
      <c r="V963" s="9"/>
      <c r="AF963" s="9"/>
    </row>
    <row r="964" spans="2:32" ht="15" x14ac:dyDescent="0.2">
      <c r="B964" s="9"/>
      <c r="L964" s="9"/>
      <c r="V964" s="9"/>
      <c r="AF964" s="9"/>
    </row>
    <row r="965" spans="2:32" ht="15" x14ac:dyDescent="0.2">
      <c r="B965" s="9"/>
      <c r="L965" s="9"/>
      <c r="V965" s="9"/>
      <c r="AF965" s="9"/>
    </row>
    <row r="966" spans="2:32" ht="15" x14ac:dyDescent="0.2">
      <c r="B966" s="9"/>
      <c r="L966" s="9"/>
      <c r="V966" s="9"/>
      <c r="AF966" s="9"/>
    </row>
    <row r="967" spans="2:32" ht="15" x14ac:dyDescent="0.2">
      <c r="B967" s="9"/>
      <c r="L967" s="9"/>
      <c r="V967" s="9"/>
      <c r="AF967" s="9"/>
    </row>
    <row r="968" spans="2:32" ht="15" x14ac:dyDescent="0.2">
      <c r="B968" s="9"/>
      <c r="L968" s="9"/>
      <c r="V968" s="9"/>
      <c r="AF968" s="9"/>
    </row>
    <row r="969" spans="2:32" ht="15" x14ac:dyDescent="0.2">
      <c r="B969" s="9"/>
      <c r="L969" s="9"/>
      <c r="V969" s="9"/>
      <c r="AF969" s="9"/>
    </row>
    <row r="970" spans="2:32" ht="15" x14ac:dyDescent="0.2">
      <c r="B970" s="9"/>
      <c r="L970" s="9"/>
      <c r="V970" s="9"/>
      <c r="AF970" s="9"/>
    </row>
    <row r="971" spans="2:32" ht="15" x14ac:dyDescent="0.2">
      <c r="B971" s="9"/>
      <c r="L971" s="9"/>
      <c r="V971" s="9"/>
      <c r="AF971" s="9"/>
    </row>
    <row r="972" spans="2:32" ht="15" x14ac:dyDescent="0.2">
      <c r="B972" s="9"/>
      <c r="L972" s="9"/>
      <c r="V972" s="9"/>
      <c r="AF972" s="9"/>
    </row>
    <row r="973" spans="2:32" ht="15" x14ac:dyDescent="0.2">
      <c r="B973" s="9"/>
      <c r="L973" s="9"/>
      <c r="V973" s="9"/>
      <c r="AF973" s="9"/>
    </row>
    <row r="974" spans="2:32" ht="15" x14ac:dyDescent="0.2">
      <c r="B974" s="9"/>
      <c r="L974" s="9"/>
      <c r="V974" s="9"/>
      <c r="AF974" s="9"/>
    </row>
    <row r="975" spans="2:32" ht="15" x14ac:dyDescent="0.2">
      <c r="B975" s="9"/>
      <c r="L975" s="9"/>
      <c r="V975" s="9"/>
      <c r="AF975" s="9"/>
    </row>
    <row r="976" spans="2:32" ht="15" x14ac:dyDescent="0.2">
      <c r="B976" s="9"/>
      <c r="L976" s="9"/>
      <c r="V976" s="9"/>
      <c r="AF976" s="9"/>
    </row>
    <row r="977" spans="2:32" ht="15" x14ac:dyDescent="0.2">
      <c r="B977" s="9"/>
      <c r="L977" s="9"/>
      <c r="V977" s="9"/>
      <c r="AF977" s="9"/>
    </row>
    <row r="978" spans="2:32" ht="15" x14ac:dyDescent="0.2">
      <c r="B978" s="9"/>
      <c r="L978" s="9"/>
      <c r="V978" s="9"/>
      <c r="AF978" s="9"/>
    </row>
    <row r="979" spans="2:32" ht="15" x14ac:dyDescent="0.2">
      <c r="B979" s="9"/>
      <c r="L979" s="9"/>
      <c r="V979" s="9"/>
      <c r="AF979" s="9"/>
    </row>
    <row r="980" spans="2:32" ht="15" x14ac:dyDescent="0.2">
      <c r="B980" s="9"/>
      <c r="L980" s="9"/>
      <c r="V980" s="9"/>
      <c r="AF980" s="9"/>
    </row>
    <row r="981" spans="2:32" ht="15" x14ac:dyDescent="0.2">
      <c r="B981" s="9"/>
      <c r="L981" s="9"/>
      <c r="V981" s="9"/>
      <c r="AF981" s="9"/>
    </row>
    <row r="982" spans="2:32" ht="15" x14ac:dyDescent="0.2">
      <c r="B982" s="9"/>
      <c r="L982" s="9"/>
      <c r="V982" s="9"/>
      <c r="AF982" s="9"/>
    </row>
    <row r="983" spans="2:32" ht="15" x14ac:dyDescent="0.2">
      <c r="B983" s="9"/>
      <c r="L983" s="9"/>
      <c r="V983" s="9"/>
      <c r="AF983" s="9"/>
    </row>
    <row r="984" spans="2:32" ht="15" x14ac:dyDescent="0.2">
      <c r="B984" s="9"/>
      <c r="L984" s="9"/>
      <c r="V984" s="9"/>
      <c r="AF984" s="9"/>
    </row>
    <row r="985" spans="2:32" ht="15" x14ac:dyDescent="0.2">
      <c r="B985" s="9"/>
      <c r="L985" s="9"/>
      <c r="V985" s="9"/>
      <c r="AF985" s="9"/>
    </row>
    <row r="986" spans="2:32" ht="15" x14ac:dyDescent="0.2">
      <c r="B986" s="9"/>
      <c r="L986" s="9"/>
      <c r="V986" s="9"/>
      <c r="AF986" s="9"/>
    </row>
    <row r="987" spans="2:32" ht="15" x14ac:dyDescent="0.2">
      <c r="B987" s="9"/>
      <c r="L987" s="9"/>
      <c r="V987" s="9"/>
      <c r="AF987" s="9"/>
    </row>
    <row r="988" spans="2:32" ht="15" x14ac:dyDescent="0.2">
      <c r="B988" s="9"/>
      <c r="L988" s="9"/>
      <c r="V988" s="9"/>
      <c r="AF988" s="9"/>
    </row>
    <row r="989" spans="2:32" ht="15" x14ac:dyDescent="0.2">
      <c r="B989" s="9"/>
      <c r="L989" s="9"/>
      <c r="V989" s="9"/>
      <c r="AF989" s="9"/>
    </row>
    <row r="990" spans="2:32" ht="15" x14ac:dyDescent="0.2">
      <c r="B990" s="9"/>
      <c r="L990" s="9"/>
      <c r="V990" s="9"/>
      <c r="AF990" s="9"/>
    </row>
    <row r="991" spans="2:32" ht="15" x14ac:dyDescent="0.2">
      <c r="B991" s="9"/>
      <c r="L991" s="9"/>
      <c r="V991" s="9"/>
      <c r="AF991" s="9"/>
    </row>
    <row r="992" spans="2:32" ht="15" x14ac:dyDescent="0.2">
      <c r="B992" s="9"/>
      <c r="L992" s="9"/>
      <c r="V992" s="9"/>
      <c r="AF992" s="9"/>
    </row>
    <row r="993" spans="2:32" ht="15" x14ac:dyDescent="0.2">
      <c r="B993" s="9"/>
      <c r="L993" s="9"/>
      <c r="V993" s="9"/>
      <c r="AF993" s="9"/>
    </row>
    <row r="994" spans="2:32" ht="15" x14ac:dyDescent="0.2">
      <c r="B994" s="9"/>
      <c r="L994" s="9"/>
      <c r="V994" s="9"/>
      <c r="AF994" s="9"/>
    </row>
    <row r="995" spans="2:32" ht="15" x14ac:dyDescent="0.2">
      <c r="B995" s="9"/>
      <c r="L995" s="9"/>
      <c r="V995" s="9"/>
      <c r="AF995" s="9"/>
    </row>
    <row r="996" spans="2:32" ht="15" x14ac:dyDescent="0.2">
      <c r="B996" s="9"/>
      <c r="L996" s="9"/>
      <c r="V996" s="9"/>
      <c r="AF996" s="9"/>
    </row>
    <row r="997" spans="2:32" ht="15" x14ac:dyDescent="0.2">
      <c r="B997" s="9"/>
      <c r="L997" s="9"/>
      <c r="V997" s="9"/>
      <c r="AF997" s="9"/>
    </row>
    <row r="998" spans="2:32" ht="15" x14ac:dyDescent="0.2">
      <c r="B998" s="9"/>
      <c r="L998" s="9"/>
      <c r="V998" s="9"/>
      <c r="AF998" s="9"/>
    </row>
    <row r="999" spans="2:32" ht="15" x14ac:dyDescent="0.2">
      <c r="B999" s="9"/>
      <c r="L999" s="9"/>
      <c r="V999" s="9"/>
      <c r="AF999" s="9"/>
    </row>
    <row r="1000" spans="2:32" ht="15" x14ac:dyDescent="0.2">
      <c r="B1000" s="9"/>
      <c r="L1000" s="9"/>
      <c r="V1000" s="9"/>
      <c r="AF1000" s="9"/>
    </row>
    <row r="1001" spans="2:32" ht="15" x14ac:dyDescent="0.2">
      <c r="B1001" s="9"/>
      <c r="L1001" s="9"/>
      <c r="V1001" s="9"/>
      <c r="AF1001" s="9"/>
    </row>
    <row r="1002" spans="2:32" ht="15" x14ac:dyDescent="0.2">
      <c r="B1002" s="9"/>
      <c r="L1002" s="9"/>
      <c r="V1002" s="9"/>
      <c r="AF1002" s="9"/>
    </row>
    <row r="1003" spans="2:32" ht="15" x14ac:dyDescent="0.2">
      <c r="B1003" s="9"/>
      <c r="L1003" s="9"/>
      <c r="V1003" s="9"/>
      <c r="AF1003" s="9"/>
    </row>
    <row r="1004" spans="2:32" ht="15" x14ac:dyDescent="0.2">
      <c r="B1004" s="9"/>
      <c r="L1004" s="9"/>
      <c r="V1004" s="9"/>
      <c r="AF1004" s="9"/>
    </row>
    <row r="1005" spans="2:32" ht="15" x14ac:dyDescent="0.2">
      <c r="B1005" s="9"/>
      <c r="L1005" s="9"/>
      <c r="V1005" s="9"/>
      <c r="AF1005" s="9"/>
    </row>
    <row r="1006" spans="2:32" ht="15" x14ac:dyDescent="0.2">
      <c r="B1006" s="9"/>
      <c r="L1006" s="9"/>
      <c r="V1006" s="9"/>
      <c r="AF1006" s="9"/>
    </row>
    <row r="1007" spans="2:32" ht="15" x14ac:dyDescent="0.2">
      <c r="B1007" s="9"/>
      <c r="L1007" s="9"/>
      <c r="V1007" s="9"/>
      <c r="AF1007" s="9"/>
    </row>
    <row r="1008" spans="2:32" ht="15" x14ac:dyDescent="0.2">
      <c r="B1008" s="9"/>
      <c r="L1008" s="9"/>
      <c r="V1008" s="9"/>
      <c r="AF1008" s="9"/>
    </row>
    <row r="1009" spans="2:32" ht="15" x14ac:dyDescent="0.2">
      <c r="B1009" s="9"/>
      <c r="L1009" s="9"/>
      <c r="V1009" s="9"/>
      <c r="AF1009" s="9"/>
    </row>
    <row r="1010" spans="2:32" ht="15" x14ac:dyDescent="0.2">
      <c r="B1010" s="9"/>
      <c r="L1010" s="9"/>
      <c r="V1010" s="9"/>
      <c r="AF1010" s="9"/>
    </row>
    <row r="1011" spans="2:32" ht="15" x14ac:dyDescent="0.2">
      <c r="B1011" s="9"/>
      <c r="L1011" s="9"/>
      <c r="V1011" s="9"/>
      <c r="AF1011" s="9"/>
    </row>
    <row r="1012" spans="2:32" ht="15" x14ac:dyDescent="0.2">
      <c r="B1012" s="9"/>
      <c r="L1012" s="9"/>
      <c r="V1012" s="9"/>
      <c r="AF1012" s="9"/>
    </row>
    <row r="1013" spans="2:32" ht="15" x14ac:dyDescent="0.2">
      <c r="B1013" s="9"/>
      <c r="L1013" s="9"/>
      <c r="V1013" s="9"/>
      <c r="AF1013" s="9"/>
    </row>
    <row r="1014" spans="2:32" ht="15" x14ac:dyDescent="0.2">
      <c r="B1014" s="9"/>
      <c r="L1014" s="9"/>
      <c r="V1014" s="9"/>
      <c r="AF1014" s="9"/>
    </row>
    <row r="1015" spans="2:32" ht="15" x14ac:dyDescent="0.2">
      <c r="B1015" s="9"/>
      <c r="L1015" s="9"/>
      <c r="V1015" s="9"/>
      <c r="AF1015" s="9"/>
    </row>
    <row r="1016" spans="2:32" ht="15" x14ac:dyDescent="0.2">
      <c r="B1016" s="9"/>
      <c r="L1016" s="9"/>
      <c r="V1016" s="9"/>
      <c r="AF1016" s="9"/>
    </row>
    <row r="1017" spans="2:32" ht="15" x14ac:dyDescent="0.2">
      <c r="B1017" s="9"/>
      <c r="L1017" s="9"/>
      <c r="V1017" s="9"/>
      <c r="AF1017" s="9"/>
    </row>
    <row r="1018" spans="2:32" ht="15" x14ac:dyDescent="0.2">
      <c r="B1018" s="9"/>
      <c r="L1018" s="9"/>
      <c r="V1018" s="9"/>
      <c r="AF1018" s="9"/>
    </row>
    <row r="1019" spans="2:32" ht="15" x14ac:dyDescent="0.2">
      <c r="B1019" s="9"/>
      <c r="L1019" s="9"/>
      <c r="V1019" s="9"/>
      <c r="AF1019" s="9"/>
    </row>
    <row r="1020" spans="2:32" ht="15" x14ac:dyDescent="0.2">
      <c r="B1020" s="9"/>
      <c r="L1020" s="9"/>
      <c r="V1020" s="9"/>
      <c r="AF1020" s="9"/>
    </row>
    <row r="1021" spans="2:32" ht="15" x14ac:dyDescent="0.2">
      <c r="B1021" s="9"/>
      <c r="L1021" s="9"/>
      <c r="V1021" s="9"/>
      <c r="AF1021" s="9"/>
    </row>
    <row r="1022" spans="2:32" ht="15" x14ac:dyDescent="0.2">
      <c r="B1022" s="9"/>
      <c r="L1022" s="9"/>
      <c r="V1022" s="9"/>
      <c r="AF1022" s="9"/>
    </row>
    <row r="1023" spans="2:32" ht="15" x14ac:dyDescent="0.2">
      <c r="B1023" s="9"/>
      <c r="L1023" s="9"/>
      <c r="V1023" s="9"/>
      <c r="AF1023" s="9"/>
    </row>
    <row r="1024" spans="2:32" ht="15" x14ac:dyDescent="0.2">
      <c r="B1024" s="9"/>
      <c r="L1024" s="9"/>
      <c r="V1024" s="9"/>
      <c r="AF1024" s="9"/>
    </row>
    <row r="1025" spans="2:32" ht="15" x14ac:dyDescent="0.2">
      <c r="B1025" s="9"/>
      <c r="L1025" s="9"/>
      <c r="V1025" s="9"/>
      <c r="AF1025" s="9"/>
    </row>
    <row r="1026" spans="2:32" ht="15" x14ac:dyDescent="0.2">
      <c r="B1026" s="9"/>
      <c r="L1026" s="9"/>
      <c r="V1026" s="9"/>
      <c r="AF1026" s="9"/>
    </row>
    <row r="1027" spans="2:32" ht="15" x14ac:dyDescent="0.2">
      <c r="B1027" s="9"/>
      <c r="L1027" s="9"/>
      <c r="V1027" s="9"/>
      <c r="AF1027" s="9"/>
    </row>
    <row r="1028" spans="2:32" ht="15" x14ac:dyDescent="0.2">
      <c r="B1028" s="9"/>
      <c r="L1028" s="9"/>
      <c r="V1028" s="9"/>
      <c r="AF1028" s="9"/>
    </row>
    <row r="1029" spans="2:32" ht="15" x14ac:dyDescent="0.2">
      <c r="B1029" s="9"/>
      <c r="L1029" s="9"/>
      <c r="V1029" s="9"/>
      <c r="AF1029" s="9"/>
    </row>
    <row r="1030" spans="2:32" ht="15" x14ac:dyDescent="0.2">
      <c r="B1030" s="9"/>
      <c r="L1030" s="9"/>
      <c r="V1030" s="9"/>
      <c r="AF1030" s="9"/>
    </row>
    <row r="1031" spans="2:32" ht="15" x14ac:dyDescent="0.2">
      <c r="B1031" s="9"/>
      <c r="L1031" s="9"/>
      <c r="V1031" s="9"/>
      <c r="AF1031" s="9"/>
    </row>
    <row r="1032" spans="2:32" ht="15" x14ac:dyDescent="0.2">
      <c r="B1032" s="9"/>
      <c r="L1032" s="9"/>
      <c r="V1032" s="9"/>
      <c r="AF1032" s="9"/>
    </row>
    <row r="1033" spans="2:32" ht="15" x14ac:dyDescent="0.2">
      <c r="B1033" s="9"/>
      <c r="L1033" s="9"/>
      <c r="V1033" s="9"/>
      <c r="AF1033" s="9"/>
    </row>
    <row r="1034" spans="2:32" ht="15" x14ac:dyDescent="0.2">
      <c r="B1034" s="9"/>
      <c r="L1034" s="9"/>
      <c r="V1034" s="9"/>
      <c r="AF1034" s="9"/>
    </row>
    <row r="1035" spans="2:32" ht="15" x14ac:dyDescent="0.2">
      <c r="B1035" s="9"/>
      <c r="L1035" s="9"/>
      <c r="V1035" s="9"/>
      <c r="AF1035" s="9"/>
    </row>
    <row r="1036" spans="2:32" ht="15" x14ac:dyDescent="0.2">
      <c r="B1036" s="9"/>
      <c r="L1036" s="9"/>
      <c r="V1036" s="9"/>
      <c r="AF1036" s="9"/>
    </row>
    <row r="1037" spans="2:32" ht="15" x14ac:dyDescent="0.2">
      <c r="B1037" s="9"/>
      <c r="L1037" s="9"/>
      <c r="V1037" s="9"/>
      <c r="AF1037" s="9"/>
    </row>
    <row r="1038" spans="2:32" ht="15" x14ac:dyDescent="0.2">
      <c r="B1038" s="9"/>
      <c r="L1038" s="9"/>
      <c r="V1038" s="9"/>
      <c r="AF1038" s="9"/>
    </row>
    <row r="1039" spans="2:32" ht="15" x14ac:dyDescent="0.2">
      <c r="B1039" s="9"/>
      <c r="L1039" s="9"/>
      <c r="V1039" s="9"/>
      <c r="AF1039" s="9"/>
    </row>
    <row r="1040" spans="2:32" ht="15" x14ac:dyDescent="0.2">
      <c r="B1040" s="9"/>
      <c r="L1040" s="9"/>
      <c r="V1040" s="9"/>
      <c r="AF1040" s="9"/>
    </row>
    <row r="1041" spans="2:32" ht="15" x14ac:dyDescent="0.2">
      <c r="B1041" s="9"/>
      <c r="L1041" s="9"/>
      <c r="V1041" s="9"/>
      <c r="AF1041" s="9"/>
    </row>
    <row r="1042" spans="2:32" ht="15" x14ac:dyDescent="0.2">
      <c r="B1042" s="9"/>
      <c r="L1042" s="9"/>
      <c r="V1042" s="9"/>
      <c r="AF1042" s="9"/>
    </row>
    <row r="1043" spans="2:32" ht="15" x14ac:dyDescent="0.2">
      <c r="B1043" s="9"/>
      <c r="L1043" s="9"/>
      <c r="V1043" s="9"/>
      <c r="AF1043" s="9"/>
    </row>
    <row r="1044" spans="2:32" ht="15" x14ac:dyDescent="0.2">
      <c r="B1044" s="9"/>
      <c r="L1044" s="9"/>
      <c r="V1044" s="9"/>
      <c r="AF1044" s="9"/>
    </row>
    <row r="1045" spans="2:32" ht="15" x14ac:dyDescent="0.2">
      <c r="B1045" s="9"/>
      <c r="L1045" s="9"/>
      <c r="V1045" s="9"/>
      <c r="AF1045" s="9"/>
    </row>
    <row r="1046" spans="2:32" ht="15" x14ac:dyDescent="0.2">
      <c r="B1046" s="9"/>
      <c r="L1046" s="9"/>
      <c r="V1046" s="9"/>
      <c r="AF1046" s="9"/>
    </row>
    <row r="1047" spans="2:32" ht="15" x14ac:dyDescent="0.2">
      <c r="B1047" s="9"/>
      <c r="L1047" s="9"/>
      <c r="V1047" s="9"/>
      <c r="AF1047" s="9"/>
    </row>
    <row r="1048" spans="2:32" ht="15" x14ac:dyDescent="0.2">
      <c r="B1048" s="9"/>
      <c r="L1048" s="9"/>
      <c r="V1048" s="9"/>
      <c r="AF1048" s="9"/>
    </row>
    <row r="1049" spans="2:32" ht="15" x14ac:dyDescent="0.2">
      <c r="B1049" s="9"/>
      <c r="L1049" s="9"/>
      <c r="V1049" s="9"/>
      <c r="AF1049" s="9"/>
    </row>
    <row r="1050" spans="2:32" ht="15" x14ac:dyDescent="0.2">
      <c r="B1050" s="9"/>
      <c r="L1050" s="9"/>
      <c r="V1050" s="9"/>
      <c r="AF1050" s="9"/>
    </row>
    <row r="1051" spans="2:32" ht="15" x14ac:dyDescent="0.2">
      <c r="B1051" s="9"/>
      <c r="L1051" s="9"/>
      <c r="V1051" s="9"/>
      <c r="AF1051" s="9"/>
    </row>
    <row r="1052" spans="2:32" ht="15" x14ac:dyDescent="0.2">
      <c r="B1052" s="9"/>
      <c r="L1052" s="9"/>
      <c r="V1052" s="9"/>
      <c r="AF1052" s="9"/>
    </row>
    <row r="1053" spans="2:32" ht="15" x14ac:dyDescent="0.2">
      <c r="B1053" s="9"/>
      <c r="L1053" s="9"/>
      <c r="V1053" s="9"/>
      <c r="AF1053" s="9"/>
    </row>
    <row r="1054" spans="2:32" ht="15" x14ac:dyDescent="0.2">
      <c r="B1054" s="9"/>
      <c r="L1054" s="9"/>
      <c r="V1054" s="9"/>
      <c r="AF1054" s="9"/>
    </row>
    <row r="1055" spans="2:32" ht="15" x14ac:dyDescent="0.2">
      <c r="B1055" s="9"/>
      <c r="L1055" s="9"/>
      <c r="V1055" s="9"/>
      <c r="AF1055" s="9"/>
    </row>
    <row r="1056" spans="2:32" ht="15" x14ac:dyDescent="0.2">
      <c r="B1056" s="9"/>
      <c r="L1056" s="9"/>
      <c r="V1056" s="9"/>
      <c r="AF1056" s="9"/>
    </row>
    <row r="1057" spans="2:32" ht="15" x14ac:dyDescent="0.2">
      <c r="B1057" s="9"/>
      <c r="L1057" s="9"/>
      <c r="V1057" s="9"/>
      <c r="AF1057" s="9"/>
    </row>
    <row r="1058" spans="2:32" ht="15" x14ac:dyDescent="0.2">
      <c r="B1058" s="9"/>
      <c r="L1058" s="9"/>
      <c r="V1058" s="9"/>
      <c r="AF1058" s="9"/>
    </row>
    <row r="1059" spans="2:32" ht="15" x14ac:dyDescent="0.2">
      <c r="B1059" s="9"/>
      <c r="L1059" s="9"/>
      <c r="V1059" s="9"/>
      <c r="AF1059" s="9"/>
    </row>
    <row r="1060" spans="2:32" ht="15" x14ac:dyDescent="0.2">
      <c r="B1060" s="9"/>
      <c r="L1060" s="9"/>
      <c r="V1060" s="9"/>
      <c r="AF1060" s="9"/>
    </row>
    <row r="1061" spans="2:32" ht="15" x14ac:dyDescent="0.2">
      <c r="B1061" s="9"/>
      <c r="L1061" s="9"/>
      <c r="V1061" s="9"/>
      <c r="AF1061" s="9"/>
    </row>
    <row r="1062" spans="2:32" ht="15" x14ac:dyDescent="0.2">
      <c r="B1062" s="9"/>
      <c r="L1062" s="9"/>
      <c r="V1062" s="9"/>
      <c r="AF1062" s="9"/>
    </row>
    <row r="1063" spans="2:32" ht="15" x14ac:dyDescent="0.2">
      <c r="B1063" s="9"/>
      <c r="L1063" s="9"/>
      <c r="V1063" s="9"/>
      <c r="AF1063" s="9"/>
    </row>
    <row r="1064" spans="2:32" ht="15" x14ac:dyDescent="0.2">
      <c r="B1064" s="9"/>
      <c r="L1064" s="9"/>
      <c r="V1064" s="9"/>
      <c r="AF1064" s="9"/>
    </row>
    <row r="1065" spans="2:32" ht="15" x14ac:dyDescent="0.2">
      <c r="B1065" s="9"/>
      <c r="L1065" s="9"/>
      <c r="V1065" s="9"/>
      <c r="AF1065" s="9"/>
    </row>
    <row r="1066" spans="2:32" ht="15" x14ac:dyDescent="0.2">
      <c r="B1066" s="9"/>
      <c r="L1066" s="9"/>
      <c r="V1066" s="9"/>
      <c r="AF1066" s="9"/>
    </row>
    <row r="1067" spans="2:32" ht="15" x14ac:dyDescent="0.2">
      <c r="B1067" s="9"/>
      <c r="L1067" s="9"/>
      <c r="V1067" s="9"/>
      <c r="AF1067" s="9"/>
    </row>
    <row r="1068" spans="2:32" ht="15" x14ac:dyDescent="0.2">
      <c r="B1068" s="9"/>
      <c r="L1068" s="9"/>
      <c r="V1068" s="9"/>
      <c r="AF1068" s="9"/>
    </row>
    <row r="1069" spans="2:32" ht="15" x14ac:dyDescent="0.2">
      <c r="B1069" s="9"/>
      <c r="L1069" s="9"/>
      <c r="V1069" s="9"/>
      <c r="AF1069" s="9"/>
    </row>
    <row r="1070" spans="2:32" ht="15" x14ac:dyDescent="0.2">
      <c r="B1070" s="9"/>
      <c r="L1070" s="9"/>
      <c r="V1070" s="9"/>
      <c r="AF1070" s="9"/>
    </row>
    <row r="1071" spans="2:32" ht="15" x14ac:dyDescent="0.2">
      <c r="B1071" s="9"/>
      <c r="L1071" s="9"/>
      <c r="V1071" s="9"/>
      <c r="AF1071" s="9"/>
    </row>
    <row r="1072" spans="2:32" ht="15" x14ac:dyDescent="0.2">
      <c r="B1072" s="9"/>
      <c r="L1072" s="9"/>
      <c r="V1072" s="9"/>
      <c r="AF1072" s="9"/>
    </row>
    <row r="1073" spans="2:32" ht="15" x14ac:dyDescent="0.2">
      <c r="B1073" s="9"/>
      <c r="L1073" s="9"/>
      <c r="V1073" s="9"/>
      <c r="AF1073" s="9"/>
    </row>
    <row r="1074" spans="2:32" ht="15" x14ac:dyDescent="0.2">
      <c r="B1074" s="9"/>
      <c r="L1074" s="9"/>
      <c r="V1074" s="9"/>
      <c r="AF1074" s="9"/>
    </row>
    <row r="1075" spans="2:32" ht="15" x14ac:dyDescent="0.2">
      <c r="B1075" s="9"/>
      <c r="L1075" s="9"/>
      <c r="V1075" s="9"/>
      <c r="AF1075" s="9"/>
    </row>
    <row r="1076" spans="2:32" ht="15" x14ac:dyDescent="0.2">
      <c r="B1076" s="9"/>
      <c r="L1076" s="9"/>
      <c r="V1076" s="9"/>
      <c r="AF1076" s="9"/>
    </row>
    <row r="1077" spans="2:32" ht="15" x14ac:dyDescent="0.2">
      <c r="B1077" s="9"/>
      <c r="L1077" s="9"/>
      <c r="V1077" s="9"/>
      <c r="AF1077" s="9"/>
    </row>
    <row r="1078" spans="2:32" ht="15" x14ac:dyDescent="0.2">
      <c r="B1078" s="9"/>
      <c r="L1078" s="9"/>
      <c r="V1078" s="9"/>
      <c r="AF1078" s="9"/>
    </row>
    <row r="1079" spans="2:32" ht="15" x14ac:dyDescent="0.2">
      <c r="B1079" s="9"/>
      <c r="L1079" s="9"/>
      <c r="V1079" s="9"/>
      <c r="AF1079" s="9"/>
    </row>
    <row r="1080" spans="2:32" ht="15" x14ac:dyDescent="0.2">
      <c r="B1080" s="9"/>
      <c r="L1080" s="9"/>
      <c r="V1080" s="9"/>
      <c r="AF1080" s="9"/>
    </row>
    <row r="1081" spans="2:32" ht="15" x14ac:dyDescent="0.2">
      <c r="B1081" s="9"/>
      <c r="L1081" s="9"/>
      <c r="V1081" s="9"/>
      <c r="AF1081" s="9"/>
    </row>
    <row r="1082" spans="2:32" ht="15" x14ac:dyDescent="0.2">
      <c r="B1082" s="9"/>
      <c r="L1082" s="9"/>
      <c r="V1082" s="9"/>
      <c r="AF1082" s="9"/>
    </row>
    <row r="1083" spans="2:32" ht="15" x14ac:dyDescent="0.2">
      <c r="B1083" s="9"/>
      <c r="L1083" s="9"/>
      <c r="V1083" s="9"/>
      <c r="AF1083" s="9"/>
    </row>
    <row r="1084" spans="2:32" ht="15" x14ac:dyDescent="0.2">
      <c r="B1084" s="9"/>
      <c r="L1084" s="9"/>
      <c r="V1084" s="9"/>
      <c r="AF1084" s="9"/>
    </row>
    <row r="1085" spans="2:32" ht="15" x14ac:dyDescent="0.2">
      <c r="B1085" s="9"/>
      <c r="L1085" s="9"/>
      <c r="V1085" s="9"/>
      <c r="AF1085" s="9"/>
    </row>
    <row r="1086" spans="2:32" ht="15" x14ac:dyDescent="0.2">
      <c r="B1086" s="9"/>
      <c r="L1086" s="9"/>
      <c r="V1086" s="9"/>
      <c r="AF1086" s="9"/>
    </row>
    <row r="1087" spans="2:32" ht="15" x14ac:dyDescent="0.2">
      <c r="B1087" s="9"/>
      <c r="L1087" s="9"/>
      <c r="V1087" s="9"/>
      <c r="AF1087" s="9"/>
    </row>
    <row r="1088" spans="2:32" ht="15" x14ac:dyDescent="0.2">
      <c r="B1088" s="9"/>
      <c r="L1088" s="9"/>
      <c r="V1088" s="9"/>
      <c r="AF1088" s="9"/>
    </row>
    <row r="1089" spans="2:32" ht="15" x14ac:dyDescent="0.2">
      <c r="B1089" s="9"/>
      <c r="L1089" s="9"/>
      <c r="V1089" s="9"/>
      <c r="AF1089" s="9"/>
    </row>
    <row r="1090" spans="2:32" ht="15" x14ac:dyDescent="0.2">
      <c r="B1090" s="9"/>
      <c r="L1090" s="9"/>
      <c r="V1090" s="9"/>
      <c r="AF1090" s="9"/>
    </row>
    <row r="1091" spans="2:32" ht="15" x14ac:dyDescent="0.2">
      <c r="B1091" s="9"/>
      <c r="L1091" s="9"/>
      <c r="V1091" s="9"/>
      <c r="AF1091" s="9"/>
    </row>
    <row r="1092" spans="2:32" ht="15" x14ac:dyDescent="0.2">
      <c r="B1092" s="9"/>
      <c r="L1092" s="9"/>
      <c r="V1092" s="9"/>
      <c r="AF1092" s="9"/>
    </row>
    <row r="1093" spans="2:32" ht="15" x14ac:dyDescent="0.2">
      <c r="B1093" s="9"/>
      <c r="L1093" s="9"/>
      <c r="V1093" s="9"/>
      <c r="AF1093" s="9"/>
    </row>
    <row r="1094" spans="2:32" ht="15" x14ac:dyDescent="0.2">
      <c r="B1094" s="9"/>
      <c r="L1094" s="9"/>
      <c r="V1094" s="9"/>
      <c r="AF1094" s="9"/>
    </row>
    <row r="1095" spans="2:32" ht="15" x14ac:dyDescent="0.2">
      <c r="B1095" s="9"/>
      <c r="L1095" s="9"/>
      <c r="V1095" s="9"/>
      <c r="AF1095" s="9"/>
    </row>
    <row r="1096" spans="2:32" ht="15" x14ac:dyDescent="0.2">
      <c r="B1096" s="9"/>
      <c r="L1096" s="9"/>
      <c r="V1096" s="9"/>
      <c r="AF1096" s="9"/>
    </row>
    <row r="1097" spans="2:32" ht="15" x14ac:dyDescent="0.2">
      <c r="B1097" s="9"/>
      <c r="L1097" s="9"/>
      <c r="V1097" s="9"/>
      <c r="AF1097" s="9"/>
    </row>
    <row r="1098" spans="2:32" ht="15" x14ac:dyDescent="0.2">
      <c r="B1098" s="9"/>
      <c r="L1098" s="9"/>
      <c r="V1098" s="9"/>
      <c r="AF1098" s="9"/>
    </row>
    <row r="1099" spans="2:32" ht="15" x14ac:dyDescent="0.2">
      <c r="B1099" s="9"/>
      <c r="L1099" s="9"/>
      <c r="V1099" s="9"/>
      <c r="AF1099" s="9"/>
    </row>
    <row r="1100" spans="2:32" ht="15" x14ac:dyDescent="0.2">
      <c r="B1100" s="9"/>
      <c r="L1100" s="9"/>
      <c r="V1100" s="9"/>
      <c r="AF1100" s="9"/>
    </row>
    <row r="1101" spans="2:32" ht="15" x14ac:dyDescent="0.2">
      <c r="B1101" s="9"/>
      <c r="L1101" s="9"/>
      <c r="V1101" s="9"/>
      <c r="AF1101" s="9"/>
    </row>
    <row r="1102" spans="2:32" ht="15" x14ac:dyDescent="0.2">
      <c r="B1102" s="9"/>
      <c r="L1102" s="9"/>
      <c r="V1102" s="9"/>
      <c r="AF1102" s="9"/>
    </row>
    <row r="1103" spans="2:32" ht="15" x14ac:dyDescent="0.2">
      <c r="B1103" s="9"/>
      <c r="L1103" s="9"/>
      <c r="V1103" s="9"/>
      <c r="AF1103" s="9"/>
    </row>
    <row r="1104" spans="2:32" ht="15" x14ac:dyDescent="0.2">
      <c r="B1104" s="9"/>
      <c r="L1104" s="9"/>
      <c r="V1104" s="9"/>
      <c r="AF1104" s="9"/>
    </row>
    <row r="1105" spans="2:32" ht="15" x14ac:dyDescent="0.2">
      <c r="B1105" s="9"/>
      <c r="L1105" s="9"/>
      <c r="V1105" s="9"/>
      <c r="AF1105" s="9"/>
    </row>
    <row r="1106" spans="2:32" ht="15" x14ac:dyDescent="0.2">
      <c r="B1106" s="9"/>
      <c r="L1106" s="9"/>
      <c r="V1106" s="9"/>
      <c r="AF1106" s="9"/>
    </row>
    <row r="1107" spans="2:32" ht="15" x14ac:dyDescent="0.2">
      <c r="B1107" s="9"/>
      <c r="L1107" s="9"/>
      <c r="V1107" s="9"/>
      <c r="AF1107" s="9"/>
    </row>
    <row r="1108" spans="2:32" ht="15" x14ac:dyDescent="0.2">
      <c r="B1108" s="9"/>
      <c r="L1108" s="9"/>
      <c r="V1108" s="9"/>
      <c r="AF1108" s="9"/>
    </row>
    <row r="1109" spans="2:32" ht="15" x14ac:dyDescent="0.2">
      <c r="B1109" s="9"/>
      <c r="L1109" s="9"/>
      <c r="V1109" s="9"/>
      <c r="AF1109" s="9"/>
    </row>
    <row r="1110" spans="2:32" ht="15" x14ac:dyDescent="0.2">
      <c r="B1110" s="9"/>
      <c r="L1110" s="9"/>
      <c r="V1110" s="9"/>
      <c r="AF1110" s="9"/>
    </row>
    <row r="1111" spans="2:32" ht="15" x14ac:dyDescent="0.2">
      <c r="B1111" s="9"/>
      <c r="L1111" s="9"/>
      <c r="V1111" s="9"/>
      <c r="AF1111" s="9"/>
    </row>
    <row r="1112" spans="2:32" ht="15" x14ac:dyDescent="0.2">
      <c r="B1112" s="9"/>
      <c r="L1112" s="9"/>
      <c r="V1112" s="9"/>
      <c r="AF1112" s="9"/>
    </row>
    <row r="1113" spans="2:32" ht="15" x14ac:dyDescent="0.2">
      <c r="B1113" s="9"/>
      <c r="L1113" s="9"/>
      <c r="V1113" s="9"/>
      <c r="AF1113" s="9"/>
    </row>
    <row r="1114" spans="2:32" ht="15" x14ac:dyDescent="0.2">
      <c r="B1114" s="9"/>
      <c r="L1114" s="9"/>
      <c r="V1114" s="9"/>
      <c r="AF1114" s="9"/>
    </row>
    <row r="1115" spans="2:32" ht="15" x14ac:dyDescent="0.2">
      <c r="B1115" s="9"/>
      <c r="L1115" s="9"/>
      <c r="V1115" s="9"/>
      <c r="AF1115" s="9"/>
    </row>
    <row r="1116" spans="2:32" ht="15" x14ac:dyDescent="0.2">
      <c r="B1116" s="9"/>
      <c r="L1116" s="9"/>
      <c r="V1116" s="9"/>
      <c r="AF1116" s="9"/>
    </row>
    <row r="1117" spans="2:32" ht="15" x14ac:dyDescent="0.2">
      <c r="B1117" s="9"/>
      <c r="L1117" s="9"/>
      <c r="V1117" s="9"/>
      <c r="AF1117" s="9"/>
    </row>
    <row r="1118" spans="2:32" ht="15" x14ac:dyDescent="0.2">
      <c r="B1118" s="9"/>
      <c r="L1118" s="9"/>
      <c r="V1118" s="9"/>
      <c r="AF1118" s="9"/>
    </row>
    <row r="1119" spans="2:32" ht="15" x14ac:dyDescent="0.2">
      <c r="B1119" s="9"/>
      <c r="L1119" s="9"/>
      <c r="V1119" s="9"/>
      <c r="AF1119" s="9"/>
    </row>
    <row r="1120" spans="2:32" ht="15" x14ac:dyDescent="0.2">
      <c r="B1120" s="9"/>
      <c r="L1120" s="9"/>
      <c r="V1120" s="9"/>
      <c r="AF1120" s="9"/>
    </row>
    <row r="1121" spans="2:32" ht="15" x14ac:dyDescent="0.2">
      <c r="B1121" s="9"/>
      <c r="L1121" s="9"/>
      <c r="V1121" s="9"/>
      <c r="AF1121" s="9"/>
    </row>
    <row r="1122" spans="2:32" ht="15" x14ac:dyDescent="0.2">
      <c r="B1122" s="9"/>
      <c r="L1122" s="9"/>
      <c r="V1122" s="9"/>
      <c r="AF1122" s="9"/>
    </row>
    <row r="1123" spans="2:32" ht="15" x14ac:dyDescent="0.2">
      <c r="B1123" s="9"/>
      <c r="L1123" s="9"/>
      <c r="V1123" s="9"/>
      <c r="AF1123" s="9"/>
    </row>
    <row r="1124" spans="2:32" ht="15" x14ac:dyDescent="0.2">
      <c r="B1124" s="9"/>
      <c r="L1124" s="9"/>
      <c r="V1124" s="9"/>
      <c r="AF1124" s="9"/>
    </row>
    <row r="1125" spans="2:32" ht="15" x14ac:dyDescent="0.2">
      <c r="B1125" s="9"/>
      <c r="L1125" s="9"/>
      <c r="V1125" s="9"/>
      <c r="AF1125" s="9"/>
    </row>
    <row r="1126" spans="2:32" ht="15" x14ac:dyDescent="0.2">
      <c r="B1126" s="9"/>
      <c r="L1126" s="9"/>
      <c r="V1126" s="9"/>
      <c r="AF1126" s="9"/>
    </row>
    <row r="1127" spans="2:32" ht="15" x14ac:dyDescent="0.2">
      <c r="B1127" s="9"/>
      <c r="L1127" s="9"/>
      <c r="V1127" s="9"/>
      <c r="AF1127" s="9"/>
    </row>
    <row r="1128" spans="2:32" ht="15" x14ac:dyDescent="0.2">
      <c r="B1128" s="9"/>
      <c r="L1128" s="9"/>
      <c r="V1128" s="9"/>
      <c r="AF1128" s="9"/>
    </row>
    <row r="1129" spans="2:32" ht="15" x14ac:dyDescent="0.2">
      <c r="B1129" s="9"/>
      <c r="L1129" s="9"/>
      <c r="V1129" s="9"/>
      <c r="AF1129" s="9"/>
    </row>
    <row r="1130" spans="2:32" ht="15" x14ac:dyDescent="0.2">
      <c r="B1130" s="9"/>
      <c r="L1130" s="9"/>
      <c r="V1130" s="9"/>
      <c r="AF1130" s="9"/>
    </row>
    <row r="1131" spans="2:32" ht="15" x14ac:dyDescent="0.2">
      <c r="B1131" s="9"/>
      <c r="L1131" s="9"/>
      <c r="V1131" s="9"/>
      <c r="AF1131" s="9"/>
    </row>
    <row r="1132" spans="2:32" ht="15" x14ac:dyDescent="0.2">
      <c r="B1132" s="9"/>
      <c r="L1132" s="9"/>
      <c r="V1132" s="9"/>
      <c r="AF1132" s="9"/>
    </row>
    <row r="1133" spans="2:32" ht="15" x14ac:dyDescent="0.2">
      <c r="B1133" s="9"/>
      <c r="L1133" s="9"/>
      <c r="V1133" s="9"/>
      <c r="AF1133" s="9"/>
    </row>
    <row r="1134" spans="2:32" ht="15" x14ac:dyDescent="0.2">
      <c r="B1134" s="9"/>
      <c r="L1134" s="9"/>
      <c r="V1134" s="9"/>
      <c r="AF1134" s="9"/>
    </row>
    <row r="1135" spans="2:32" ht="15" x14ac:dyDescent="0.2">
      <c r="B1135" s="9"/>
      <c r="L1135" s="9"/>
      <c r="V1135" s="9"/>
      <c r="AF1135" s="9"/>
    </row>
    <row r="1136" spans="2:32" ht="15" x14ac:dyDescent="0.2">
      <c r="B1136" s="9"/>
      <c r="L1136" s="9"/>
      <c r="V1136" s="9"/>
      <c r="AF1136" s="9"/>
    </row>
    <row r="1137" spans="2:32" ht="15" x14ac:dyDescent="0.2">
      <c r="B1137" s="9"/>
      <c r="L1137" s="9"/>
      <c r="V1137" s="9"/>
      <c r="AF1137" s="9"/>
    </row>
    <row r="1138" spans="2:32" ht="15" x14ac:dyDescent="0.2">
      <c r="B1138" s="9"/>
      <c r="L1138" s="9"/>
      <c r="V1138" s="9"/>
      <c r="AF1138" s="9"/>
    </row>
    <row r="1139" spans="2:32" ht="15" x14ac:dyDescent="0.2">
      <c r="B1139" s="9"/>
      <c r="L1139" s="9"/>
      <c r="V1139" s="9"/>
      <c r="AF1139" s="9"/>
    </row>
    <row r="1140" spans="2:32" ht="15" x14ac:dyDescent="0.2">
      <c r="B1140" s="9"/>
      <c r="L1140" s="9"/>
      <c r="V1140" s="9"/>
      <c r="AF1140" s="9"/>
    </row>
    <row r="1141" spans="2:32" ht="15" x14ac:dyDescent="0.2">
      <c r="B1141" s="9"/>
      <c r="L1141" s="9"/>
      <c r="V1141" s="9"/>
      <c r="AF1141" s="9"/>
    </row>
    <row r="1142" spans="2:32" ht="15" x14ac:dyDescent="0.2">
      <c r="B1142" s="9"/>
      <c r="L1142" s="9"/>
      <c r="V1142" s="9"/>
      <c r="AF1142" s="9"/>
    </row>
    <row r="1143" spans="2:32" ht="15" x14ac:dyDescent="0.2">
      <c r="B1143" s="9"/>
      <c r="L1143" s="9"/>
      <c r="V1143" s="9"/>
      <c r="AF1143" s="9"/>
    </row>
    <row r="1144" spans="2:32" ht="15" x14ac:dyDescent="0.2">
      <c r="B1144" s="9"/>
      <c r="L1144" s="9"/>
      <c r="V1144" s="9"/>
      <c r="AF1144" s="9"/>
    </row>
    <row r="1145" spans="2:32" ht="15" x14ac:dyDescent="0.2">
      <c r="B1145" s="9"/>
      <c r="L1145" s="9"/>
      <c r="V1145" s="9"/>
      <c r="AF1145" s="9"/>
    </row>
    <row r="1146" spans="2:32" ht="15" x14ac:dyDescent="0.2">
      <c r="B1146" s="9"/>
      <c r="L1146" s="9"/>
      <c r="V1146" s="9"/>
      <c r="AF1146" s="9"/>
    </row>
    <row r="1147" spans="2:32" ht="15" x14ac:dyDescent="0.2">
      <c r="B1147" s="9"/>
      <c r="L1147" s="9"/>
      <c r="V1147" s="9"/>
      <c r="AF1147" s="9"/>
    </row>
    <row r="1148" spans="2:32" ht="15" x14ac:dyDescent="0.2">
      <c r="B1148" s="9"/>
      <c r="L1148" s="9"/>
      <c r="V1148" s="9"/>
      <c r="AF1148" s="9"/>
    </row>
    <row r="1149" spans="2:32" ht="15" x14ac:dyDescent="0.2">
      <c r="B1149" s="9"/>
      <c r="L1149" s="9"/>
      <c r="V1149" s="9"/>
      <c r="AF1149" s="9"/>
    </row>
    <row r="1150" spans="2:32" ht="15" x14ac:dyDescent="0.2">
      <c r="B1150" s="9"/>
      <c r="L1150" s="9"/>
      <c r="V1150" s="9"/>
      <c r="AF1150" s="9"/>
    </row>
    <row r="1151" spans="2:32" ht="15" x14ac:dyDescent="0.2">
      <c r="B1151" s="9"/>
      <c r="L1151" s="9"/>
      <c r="V1151" s="9"/>
      <c r="AF1151" s="9"/>
    </row>
    <row r="1152" spans="2:32" ht="15" x14ac:dyDescent="0.2">
      <c r="B1152" s="9"/>
      <c r="L1152" s="9"/>
      <c r="V1152" s="9"/>
      <c r="AF1152" s="9"/>
    </row>
    <row r="1153" spans="2:32" ht="15" x14ac:dyDescent="0.2">
      <c r="B1153" s="9"/>
      <c r="L1153" s="9"/>
      <c r="V1153" s="9"/>
      <c r="AF1153" s="9"/>
    </row>
    <row r="1154" spans="2:32" ht="15" x14ac:dyDescent="0.2">
      <c r="B1154" s="9"/>
      <c r="L1154" s="9"/>
      <c r="V1154" s="9"/>
      <c r="AF1154" s="9"/>
    </row>
    <row r="1155" spans="2:32" ht="15" x14ac:dyDescent="0.2">
      <c r="B1155" s="9"/>
      <c r="L1155" s="9"/>
      <c r="V1155" s="9"/>
      <c r="AF1155" s="9"/>
    </row>
    <row r="1156" spans="2:32" ht="15" x14ac:dyDescent="0.2">
      <c r="B1156" s="9"/>
      <c r="L1156" s="9"/>
      <c r="V1156" s="9"/>
      <c r="AF1156" s="9"/>
    </row>
    <row r="1157" spans="2:32" ht="15" x14ac:dyDescent="0.2">
      <c r="B1157" s="9"/>
      <c r="L1157" s="9"/>
      <c r="V1157" s="9"/>
      <c r="AF1157" s="9"/>
    </row>
    <row r="1158" spans="2:32" ht="15" x14ac:dyDescent="0.2">
      <c r="B1158" s="9"/>
      <c r="L1158" s="9"/>
      <c r="V1158" s="9"/>
      <c r="AF1158" s="9"/>
    </row>
    <row r="1159" spans="2:32" ht="15" x14ac:dyDescent="0.2">
      <c r="B1159" s="9"/>
      <c r="L1159" s="9"/>
      <c r="V1159" s="9"/>
      <c r="AF1159" s="9"/>
    </row>
    <row r="1160" spans="2:32" ht="15" x14ac:dyDescent="0.2">
      <c r="B1160" s="9"/>
      <c r="L1160" s="9"/>
      <c r="V1160" s="9"/>
      <c r="AF1160" s="9"/>
    </row>
    <row r="1161" spans="2:32" ht="15" x14ac:dyDescent="0.2">
      <c r="B1161" s="9"/>
      <c r="L1161" s="9"/>
      <c r="V1161" s="9"/>
      <c r="AF1161" s="9"/>
    </row>
    <row r="1162" spans="2:32" ht="15" x14ac:dyDescent="0.2">
      <c r="B1162" s="9"/>
      <c r="L1162" s="9"/>
      <c r="V1162" s="9"/>
      <c r="AF1162" s="9"/>
    </row>
    <row r="1163" spans="2:32" ht="15" x14ac:dyDescent="0.2">
      <c r="B1163" s="9"/>
      <c r="L1163" s="9"/>
      <c r="V1163" s="9"/>
      <c r="AF1163" s="9"/>
    </row>
    <row r="1164" spans="2:32" ht="15" x14ac:dyDescent="0.2">
      <c r="B1164" s="9"/>
      <c r="L1164" s="9"/>
      <c r="V1164" s="9"/>
      <c r="AF1164" s="9"/>
    </row>
    <row r="1165" spans="2:32" ht="15" x14ac:dyDescent="0.2">
      <c r="B1165" s="9"/>
      <c r="L1165" s="9"/>
      <c r="V1165" s="9"/>
      <c r="AF1165" s="9"/>
    </row>
    <row r="1166" spans="2:32" ht="15" x14ac:dyDescent="0.2">
      <c r="B1166" s="9"/>
      <c r="L1166" s="9"/>
      <c r="V1166" s="9"/>
      <c r="AF1166" s="9"/>
    </row>
    <row r="1167" spans="2:32" ht="15" x14ac:dyDescent="0.2">
      <c r="B1167" s="9"/>
      <c r="L1167" s="9"/>
      <c r="V1167" s="9"/>
      <c r="AF1167" s="9"/>
    </row>
    <row r="1168" spans="2:32" ht="15" x14ac:dyDescent="0.2">
      <c r="B1168" s="9"/>
      <c r="L1168" s="9"/>
      <c r="V1168" s="9"/>
      <c r="AF1168" s="9"/>
    </row>
    <row r="1169" spans="2:32" ht="15" x14ac:dyDescent="0.2">
      <c r="B1169" s="9"/>
      <c r="L1169" s="9"/>
      <c r="V1169" s="9"/>
      <c r="AF1169" s="9"/>
    </row>
    <row r="1170" spans="2:32" ht="15" x14ac:dyDescent="0.2">
      <c r="B1170" s="9"/>
      <c r="L1170" s="9"/>
      <c r="V1170" s="9"/>
      <c r="AF1170" s="9"/>
    </row>
    <row r="1171" spans="2:32" ht="15" x14ac:dyDescent="0.2">
      <c r="B1171" s="9"/>
      <c r="L1171" s="9"/>
      <c r="V1171" s="9"/>
      <c r="AF1171" s="9"/>
    </row>
    <row r="1172" spans="2:32" ht="15" x14ac:dyDescent="0.2">
      <c r="B1172" s="9"/>
      <c r="L1172" s="9"/>
      <c r="V1172" s="9"/>
      <c r="AF1172" s="9"/>
    </row>
    <row r="1173" spans="2:32" ht="15" x14ac:dyDescent="0.2">
      <c r="B1173" s="9"/>
      <c r="L1173" s="9"/>
      <c r="V1173" s="9"/>
      <c r="AF1173" s="9"/>
    </row>
    <row r="1174" spans="2:32" ht="15" x14ac:dyDescent="0.2">
      <c r="B1174" s="9"/>
      <c r="L1174" s="9"/>
      <c r="V1174" s="9"/>
      <c r="AF1174" s="9"/>
    </row>
    <row r="1175" spans="2:32" ht="15" x14ac:dyDescent="0.2">
      <c r="B1175" s="9"/>
      <c r="L1175" s="9"/>
      <c r="V1175" s="9"/>
      <c r="AF1175" s="9"/>
    </row>
    <row r="1176" spans="2:32" ht="15" x14ac:dyDescent="0.2">
      <c r="B1176" s="9"/>
      <c r="L1176" s="9"/>
      <c r="V1176" s="9"/>
      <c r="AF1176" s="9"/>
    </row>
    <row r="1177" spans="2:32" ht="15" x14ac:dyDescent="0.2">
      <c r="B1177" s="9"/>
      <c r="L1177" s="9"/>
      <c r="V1177" s="9"/>
      <c r="AF1177" s="9"/>
    </row>
    <row r="1178" spans="2:32" ht="15" x14ac:dyDescent="0.2">
      <c r="B1178" s="9"/>
      <c r="L1178" s="9"/>
      <c r="V1178" s="9"/>
      <c r="AF1178" s="9"/>
    </row>
    <row r="1179" spans="2:32" ht="15" x14ac:dyDescent="0.2">
      <c r="B1179" s="9"/>
      <c r="L1179" s="9"/>
      <c r="V1179" s="9"/>
      <c r="AF1179" s="9"/>
    </row>
    <row r="1180" spans="2:32" ht="15" x14ac:dyDescent="0.2">
      <c r="B1180" s="9"/>
      <c r="L1180" s="9"/>
      <c r="V1180" s="9"/>
      <c r="AF1180" s="9"/>
    </row>
    <row r="1181" spans="2:32" ht="15" x14ac:dyDescent="0.2">
      <c r="B1181" s="9"/>
      <c r="L1181" s="9"/>
      <c r="V1181" s="9"/>
      <c r="AF1181" s="9"/>
    </row>
    <row r="1182" spans="2:32" ht="15" x14ac:dyDescent="0.2">
      <c r="B1182" s="9"/>
      <c r="L1182" s="9"/>
      <c r="V1182" s="9"/>
      <c r="AF1182" s="9"/>
    </row>
    <row r="1183" spans="2:32" ht="15" x14ac:dyDescent="0.2">
      <c r="B1183" s="9"/>
      <c r="L1183" s="9"/>
      <c r="V1183" s="9"/>
      <c r="AF1183" s="9"/>
    </row>
    <row r="1184" spans="2:32" ht="15" x14ac:dyDescent="0.2">
      <c r="B1184" s="9"/>
      <c r="L1184" s="9"/>
      <c r="V1184" s="9"/>
      <c r="AF1184" s="9"/>
    </row>
    <row r="1185" spans="2:32" ht="15" x14ac:dyDescent="0.2">
      <c r="B1185" s="9"/>
      <c r="L1185" s="9"/>
      <c r="V1185" s="9"/>
      <c r="AF1185" s="9"/>
    </row>
    <row r="1186" spans="2:32" ht="15" x14ac:dyDescent="0.2">
      <c r="B1186" s="9"/>
      <c r="L1186" s="9"/>
      <c r="V1186" s="9"/>
      <c r="AF1186" s="9"/>
    </row>
    <row r="1187" spans="2:32" ht="15" x14ac:dyDescent="0.2">
      <c r="B1187" s="9"/>
      <c r="L1187" s="9"/>
      <c r="V1187" s="9"/>
      <c r="AF1187" s="9"/>
    </row>
    <row r="1188" spans="2:32" ht="15" x14ac:dyDescent="0.2">
      <c r="B1188" s="9"/>
      <c r="L1188" s="9"/>
      <c r="V1188" s="9"/>
      <c r="AF1188" s="9"/>
    </row>
    <row r="1189" spans="2:32" ht="15" x14ac:dyDescent="0.2">
      <c r="B1189" s="9"/>
      <c r="L1189" s="9"/>
      <c r="V1189" s="9"/>
      <c r="AF1189" s="9"/>
    </row>
    <row r="1190" spans="2:32" ht="15" x14ac:dyDescent="0.2">
      <c r="B1190" s="9"/>
      <c r="L1190" s="9"/>
      <c r="V1190" s="9"/>
      <c r="AF1190" s="9"/>
    </row>
    <row r="1191" spans="2:32" ht="15" x14ac:dyDescent="0.2">
      <c r="B1191" s="9"/>
      <c r="L1191" s="9"/>
      <c r="V1191" s="9"/>
      <c r="AF1191" s="9"/>
    </row>
    <row r="1192" spans="2:32" ht="15" x14ac:dyDescent="0.2">
      <c r="B1192" s="9"/>
      <c r="L1192" s="9"/>
      <c r="V1192" s="9"/>
      <c r="AF1192" s="9"/>
    </row>
    <row r="1193" spans="2:32" ht="15" x14ac:dyDescent="0.2">
      <c r="B1193" s="9"/>
      <c r="L1193" s="9"/>
      <c r="V1193" s="9"/>
      <c r="AF1193" s="9"/>
    </row>
    <row r="1194" spans="2:32" ht="15" x14ac:dyDescent="0.2">
      <c r="B1194" s="9"/>
      <c r="L1194" s="9"/>
      <c r="V1194" s="9"/>
      <c r="AF1194" s="9"/>
    </row>
    <row r="1195" spans="2:32" ht="15" x14ac:dyDescent="0.2">
      <c r="B1195" s="9"/>
      <c r="L1195" s="9"/>
      <c r="V1195" s="9"/>
      <c r="AF1195" s="9"/>
    </row>
    <row r="1196" spans="2:32" ht="15" x14ac:dyDescent="0.2">
      <c r="B1196" s="9"/>
      <c r="L1196" s="9"/>
      <c r="V1196" s="9"/>
      <c r="AF1196" s="9"/>
    </row>
    <row r="1197" spans="2:32" ht="15" x14ac:dyDescent="0.2">
      <c r="B1197" s="9"/>
      <c r="L1197" s="9"/>
      <c r="V1197" s="9"/>
      <c r="AF1197" s="9"/>
    </row>
    <row r="1198" spans="2:32" ht="15" x14ac:dyDescent="0.2">
      <c r="B1198" s="9"/>
      <c r="L1198" s="9"/>
      <c r="V1198" s="9"/>
      <c r="AF1198" s="9"/>
    </row>
    <row r="1199" spans="2:32" ht="15" x14ac:dyDescent="0.2">
      <c r="B1199" s="9"/>
      <c r="L1199" s="9"/>
      <c r="V1199" s="9"/>
      <c r="AF1199" s="9"/>
    </row>
    <row r="1200" spans="2:32" ht="15" x14ac:dyDescent="0.2">
      <c r="B1200" s="9"/>
      <c r="L1200" s="9"/>
      <c r="V1200" s="9"/>
      <c r="AF1200" s="9"/>
    </row>
    <row r="1201" spans="2:32" ht="15" x14ac:dyDescent="0.2">
      <c r="B1201" s="9"/>
      <c r="L1201" s="9"/>
      <c r="V1201" s="9"/>
      <c r="AF1201" s="9"/>
    </row>
    <row r="1202" spans="2:32" ht="15" x14ac:dyDescent="0.2">
      <c r="B1202" s="9"/>
      <c r="L1202" s="9"/>
      <c r="V1202" s="9"/>
      <c r="AF1202" s="9"/>
    </row>
    <row r="1203" spans="2:32" ht="15" x14ac:dyDescent="0.2">
      <c r="B1203" s="9"/>
      <c r="L1203" s="9"/>
      <c r="V1203" s="9"/>
      <c r="AF1203" s="9"/>
    </row>
    <row r="1204" spans="2:32" ht="15" x14ac:dyDescent="0.2">
      <c r="B1204" s="9"/>
      <c r="L1204" s="9"/>
      <c r="V1204" s="9"/>
      <c r="AF1204" s="9"/>
    </row>
    <row r="1205" spans="2:32" ht="15" x14ac:dyDescent="0.2">
      <c r="B1205" s="9"/>
      <c r="L1205" s="9"/>
      <c r="V1205" s="9"/>
      <c r="AF1205" s="9"/>
    </row>
    <row r="1206" spans="2:32" ht="15" x14ac:dyDescent="0.2">
      <c r="B1206" s="9"/>
      <c r="L1206" s="9"/>
      <c r="V1206" s="9"/>
      <c r="AF1206" s="9"/>
    </row>
    <row r="1207" spans="2:32" ht="15" x14ac:dyDescent="0.2">
      <c r="B1207" s="9"/>
      <c r="L1207" s="9"/>
      <c r="V1207" s="9"/>
      <c r="AF1207" s="9"/>
    </row>
    <row r="1208" spans="2:32" ht="15" x14ac:dyDescent="0.2">
      <c r="B1208" s="9"/>
      <c r="L1208" s="9"/>
      <c r="V1208" s="9"/>
      <c r="AF1208" s="9"/>
    </row>
    <row r="1209" spans="2:32" ht="15" x14ac:dyDescent="0.2">
      <c r="B1209" s="9"/>
      <c r="L1209" s="9"/>
      <c r="V1209" s="9"/>
      <c r="AF1209" s="9"/>
    </row>
    <row r="1210" spans="2:32" ht="15" x14ac:dyDescent="0.2">
      <c r="B1210" s="9"/>
      <c r="L1210" s="9"/>
      <c r="V1210" s="9"/>
      <c r="AF1210" s="9"/>
    </row>
    <row r="1211" spans="2:32" ht="15" x14ac:dyDescent="0.2">
      <c r="B1211" s="9"/>
      <c r="L1211" s="9"/>
      <c r="V1211" s="9"/>
      <c r="AF1211" s="9"/>
    </row>
    <row r="1212" spans="2:32" ht="15" x14ac:dyDescent="0.2">
      <c r="B1212" s="9"/>
      <c r="L1212" s="9"/>
      <c r="V1212" s="9"/>
      <c r="AF1212" s="9"/>
    </row>
    <row r="1213" spans="2:32" ht="15" x14ac:dyDescent="0.2">
      <c r="B1213" s="9"/>
      <c r="L1213" s="9"/>
      <c r="V1213" s="9"/>
      <c r="AF1213" s="9"/>
    </row>
    <row r="1214" spans="2:32" ht="15" x14ac:dyDescent="0.2">
      <c r="B1214" s="9"/>
      <c r="L1214" s="9"/>
      <c r="V1214" s="9"/>
      <c r="AF1214" s="9"/>
    </row>
    <row r="1215" spans="2:32" ht="15" x14ac:dyDescent="0.2">
      <c r="B1215" s="9"/>
      <c r="L1215" s="9"/>
      <c r="V1215" s="9"/>
      <c r="AF1215" s="9"/>
    </row>
    <row r="1216" spans="2:32" ht="15" x14ac:dyDescent="0.2">
      <c r="B1216" s="9"/>
      <c r="L1216" s="9"/>
      <c r="V1216" s="9"/>
      <c r="AF1216" s="9"/>
    </row>
    <row r="1217" spans="2:32" ht="15" x14ac:dyDescent="0.2">
      <c r="B1217" s="9"/>
      <c r="L1217" s="9"/>
      <c r="V1217" s="9"/>
      <c r="AF1217" s="9"/>
    </row>
    <row r="1218" spans="2:32" ht="15" x14ac:dyDescent="0.2">
      <c r="B1218" s="9"/>
      <c r="L1218" s="9"/>
      <c r="V1218" s="9"/>
      <c r="AF1218" s="9"/>
    </row>
    <row r="1219" spans="2:32" ht="15" x14ac:dyDescent="0.2">
      <c r="B1219" s="9"/>
      <c r="L1219" s="9"/>
      <c r="V1219" s="9"/>
      <c r="AF1219" s="9"/>
    </row>
    <row r="1220" spans="2:32" ht="15" x14ac:dyDescent="0.2">
      <c r="B1220" s="9"/>
      <c r="L1220" s="9"/>
      <c r="V1220" s="9"/>
      <c r="AF1220" s="9"/>
    </row>
    <row r="1221" spans="2:32" ht="15" x14ac:dyDescent="0.2">
      <c r="B1221" s="9"/>
      <c r="L1221" s="9"/>
      <c r="V1221" s="9"/>
      <c r="AF1221" s="9"/>
    </row>
    <row r="1222" spans="2:32" ht="15" x14ac:dyDescent="0.2">
      <c r="B1222" s="9"/>
      <c r="L1222" s="9"/>
      <c r="V1222" s="9"/>
      <c r="AF1222" s="9"/>
    </row>
    <row r="1223" spans="2:32" ht="15" x14ac:dyDescent="0.2">
      <c r="B1223" s="9"/>
      <c r="L1223" s="9"/>
      <c r="V1223" s="9"/>
      <c r="AF1223" s="9"/>
    </row>
    <row r="1224" spans="2:32" ht="15" x14ac:dyDescent="0.2">
      <c r="B1224" s="9"/>
      <c r="L1224" s="9"/>
      <c r="V1224" s="9"/>
      <c r="AF1224" s="9"/>
    </row>
    <row r="1225" spans="2:32" ht="15" x14ac:dyDescent="0.2">
      <c r="B1225" s="9"/>
      <c r="L1225" s="9"/>
      <c r="V1225" s="9"/>
      <c r="AF1225" s="9"/>
    </row>
    <row r="1226" spans="2:32" ht="15" x14ac:dyDescent="0.2">
      <c r="B1226" s="9"/>
      <c r="L1226" s="9"/>
      <c r="V1226" s="9"/>
      <c r="AF1226" s="9"/>
    </row>
    <row r="1227" spans="2:32" ht="15" x14ac:dyDescent="0.2">
      <c r="B1227" s="9"/>
      <c r="L1227" s="9"/>
      <c r="V1227" s="9"/>
      <c r="AF1227" s="9"/>
    </row>
    <row r="1228" spans="2:32" ht="15" x14ac:dyDescent="0.2">
      <c r="B1228" s="9"/>
      <c r="L1228" s="9"/>
      <c r="V1228" s="9"/>
      <c r="AF1228" s="9"/>
    </row>
    <row r="1229" spans="2:32" ht="15" x14ac:dyDescent="0.2">
      <c r="B1229" s="9"/>
      <c r="L1229" s="9"/>
      <c r="V1229" s="9"/>
      <c r="AF1229" s="9"/>
    </row>
    <row r="1230" spans="2:32" ht="15" x14ac:dyDescent="0.2">
      <c r="B1230" s="9"/>
      <c r="L1230" s="9"/>
      <c r="V1230" s="9"/>
      <c r="AF1230" s="9"/>
    </row>
    <row r="1231" spans="2:32" ht="15" x14ac:dyDescent="0.2">
      <c r="B1231" s="9"/>
      <c r="L1231" s="9"/>
      <c r="V1231" s="9"/>
      <c r="AF1231" s="9"/>
    </row>
    <row r="1232" spans="2:32" ht="15" x14ac:dyDescent="0.2">
      <c r="B1232" s="9"/>
      <c r="L1232" s="9"/>
      <c r="V1232" s="9"/>
      <c r="AF1232" s="9"/>
    </row>
    <row r="1233" spans="2:32" ht="15" x14ac:dyDescent="0.2">
      <c r="B1233" s="9"/>
      <c r="L1233" s="9"/>
      <c r="V1233" s="9"/>
      <c r="AF1233" s="9"/>
    </row>
    <row r="1234" spans="2:32" ht="15" x14ac:dyDescent="0.2">
      <c r="B1234" s="9"/>
      <c r="L1234" s="9"/>
      <c r="V1234" s="9"/>
      <c r="AF1234" s="9"/>
    </row>
    <row r="1235" spans="2:32" ht="15" x14ac:dyDescent="0.2">
      <c r="B1235" s="9"/>
      <c r="L1235" s="9"/>
      <c r="V1235" s="9"/>
      <c r="AF1235" s="9"/>
    </row>
    <row r="1236" spans="2:32" ht="15" x14ac:dyDescent="0.2">
      <c r="B1236" s="9"/>
      <c r="L1236" s="9"/>
      <c r="V1236" s="9"/>
      <c r="AF1236" s="9"/>
    </row>
    <row r="1237" spans="2:32" ht="15" x14ac:dyDescent="0.2">
      <c r="B1237" s="9"/>
      <c r="L1237" s="9"/>
      <c r="V1237" s="9"/>
      <c r="AF1237" s="9"/>
    </row>
    <row r="1238" spans="2:32" ht="15" x14ac:dyDescent="0.2">
      <c r="B1238" s="9"/>
      <c r="L1238" s="9"/>
      <c r="V1238" s="9"/>
      <c r="AF1238" s="9"/>
    </row>
    <row r="1239" spans="2:32" ht="15" x14ac:dyDescent="0.2">
      <c r="B1239" s="9"/>
      <c r="L1239" s="9"/>
      <c r="V1239" s="9"/>
      <c r="AF1239" s="9"/>
    </row>
    <row r="1240" spans="2:32" ht="15" x14ac:dyDescent="0.2">
      <c r="B1240" s="9"/>
      <c r="L1240" s="9"/>
      <c r="V1240" s="9"/>
      <c r="AF1240" s="9"/>
    </row>
    <row r="1241" spans="2:32" ht="15" x14ac:dyDescent="0.2">
      <c r="B1241" s="9"/>
      <c r="L1241" s="9"/>
      <c r="V1241" s="9"/>
      <c r="AF1241" s="9"/>
    </row>
    <row r="1242" spans="2:32" ht="15" x14ac:dyDescent="0.2">
      <c r="B1242" s="9"/>
      <c r="L1242" s="9"/>
      <c r="V1242" s="9"/>
      <c r="AF1242" s="9"/>
    </row>
    <row r="1243" spans="2:32" ht="15" x14ac:dyDescent="0.2">
      <c r="B1243" s="9"/>
      <c r="L1243" s="9"/>
      <c r="V1243" s="9"/>
      <c r="AF1243" s="9"/>
    </row>
    <row r="1244" spans="2:32" ht="15" x14ac:dyDescent="0.2">
      <c r="B1244" s="9"/>
      <c r="L1244" s="9"/>
      <c r="V1244" s="9"/>
      <c r="AF1244" s="9"/>
    </row>
    <row r="1245" spans="2:32" ht="15" x14ac:dyDescent="0.2">
      <c r="B1245" s="9"/>
      <c r="L1245" s="9"/>
      <c r="V1245" s="9"/>
      <c r="AF1245" s="9"/>
    </row>
    <row r="1246" spans="2:32" ht="15" x14ac:dyDescent="0.2">
      <c r="B1246" s="9"/>
      <c r="L1246" s="9"/>
      <c r="V1246" s="9"/>
      <c r="AF1246" s="9"/>
    </row>
    <row r="1247" spans="2:32" ht="15" x14ac:dyDescent="0.2">
      <c r="B1247" s="9"/>
      <c r="L1247" s="9"/>
      <c r="V1247" s="9"/>
      <c r="AF1247" s="9"/>
    </row>
    <row r="1248" spans="2:32" ht="15" x14ac:dyDescent="0.2">
      <c r="B1248" s="9"/>
      <c r="L1248" s="9"/>
      <c r="V1248" s="9"/>
      <c r="AF1248" s="9"/>
    </row>
    <row r="1249" spans="2:32" ht="15" x14ac:dyDescent="0.2">
      <c r="B1249" s="9"/>
      <c r="L1249" s="9"/>
      <c r="V1249" s="9"/>
      <c r="AF1249" s="9"/>
    </row>
    <row r="1250" spans="2:32" ht="15" x14ac:dyDescent="0.2">
      <c r="B1250" s="9"/>
      <c r="L1250" s="9"/>
      <c r="V1250" s="9"/>
      <c r="AF1250" s="9"/>
    </row>
    <row r="1251" spans="2:32" ht="15" x14ac:dyDescent="0.2">
      <c r="B1251" s="9"/>
      <c r="L1251" s="9"/>
      <c r="V1251" s="9"/>
      <c r="AF1251" s="9"/>
    </row>
    <row r="1252" spans="2:32" ht="15" x14ac:dyDescent="0.2">
      <c r="B1252" s="9"/>
      <c r="L1252" s="9"/>
      <c r="V1252" s="9"/>
      <c r="AF1252" s="9"/>
    </row>
    <row r="1253" spans="2:32" ht="15" x14ac:dyDescent="0.2">
      <c r="B1253" s="9"/>
      <c r="L1253" s="9"/>
      <c r="V1253" s="9"/>
      <c r="AF1253" s="9"/>
    </row>
    <row r="1254" spans="2:32" ht="15" x14ac:dyDescent="0.2">
      <c r="B1254" s="9"/>
      <c r="L1254" s="9"/>
      <c r="V1254" s="9"/>
      <c r="AF1254" s="9"/>
    </row>
    <row r="1255" spans="2:32" ht="15" x14ac:dyDescent="0.2">
      <c r="B1255" s="9"/>
      <c r="L1255" s="9"/>
      <c r="V1255" s="9"/>
      <c r="AF1255" s="9"/>
    </row>
    <row r="1256" spans="2:32" ht="15" x14ac:dyDescent="0.2">
      <c r="B1256" s="9"/>
      <c r="L1256" s="9"/>
      <c r="V1256" s="9"/>
      <c r="AF1256" s="9"/>
    </row>
    <row r="1257" spans="2:32" ht="15" x14ac:dyDescent="0.2">
      <c r="B1257" s="9"/>
      <c r="L1257" s="9"/>
      <c r="V1257" s="9"/>
      <c r="AF1257" s="9"/>
    </row>
    <row r="1258" spans="2:32" ht="15" x14ac:dyDescent="0.2">
      <c r="B1258" s="9"/>
      <c r="L1258" s="9"/>
      <c r="V1258" s="9"/>
      <c r="AF1258" s="9"/>
    </row>
    <row r="1259" spans="2:32" ht="15" x14ac:dyDescent="0.2">
      <c r="B1259" s="9"/>
      <c r="L1259" s="9"/>
      <c r="V1259" s="9"/>
      <c r="AF1259" s="9"/>
    </row>
    <row r="1260" spans="2:32" ht="15" x14ac:dyDescent="0.2">
      <c r="B1260" s="9"/>
      <c r="L1260" s="9"/>
      <c r="V1260" s="9"/>
      <c r="AF1260" s="9"/>
    </row>
    <row r="1261" spans="2:32" ht="15" x14ac:dyDescent="0.2">
      <c r="B1261" s="9"/>
      <c r="L1261" s="9"/>
      <c r="V1261" s="9"/>
      <c r="AF1261" s="9"/>
    </row>
    <row r="1262" spans="2:32" ht="15" x14ac:dyDescent="0.2">
      <c r="B1262" s="9"/>
      <c r="L1262" s="9"/>
      <c r="V1262" s="9"/>
      <c r="AF1262" s="9"/>
    </row>
    <row r="1263" spans="2:32" ht="15" x14ac:dyDescent="0.2">
      <c r="B1263" s="9"/>
      <c r="L1263" s="9"/>
      <c r="V1263" s="9"/>
      <c r="AF1263" s="9"/>
    </row>
    <row r="1264" spans="2:32" ht="15" x14ac:dyDescent="0.2">
      <c r="B1264" s="9"/>
      <c r="L1264" s="9"/>
      <c r="V1264" s="9"/>
      <c r="AF1264" s="9"/>
    </row>
    <row r="1265" spans="2:32" ht="15" x14ac:dyDescent="0.2">
      <c r="B1265" s="9"/>
      <c r="L1265" s="9"/>
      <c r="V1265" s="9"/>
      <c r="AF1265" s="9"/>
    </row>
    <row r="1266" spans="2:32" ht="15" x14ac:dyDescent="0.2">
      <c r="B1266" s="9"/>
      <c r="L1266" s="9"/>
      <c r="V1266" s="9"/>
      <c r="AF1266" s="9"/>
    </row>
    <row r="1267" spans="2:32" ht="15" x14ac:dyDescent="0.2">
      <c r="B1267" s="9"/>
      <c r="L1267" s="9"/>
      <c r="V1267" s="9"/>
      <c r="AF1267" s="9"/>
    </row>
    <row r="1268" spans="2:32" ht="15" x14ac:dyDescent="0.2">
      <c r="B1268" s="9"/>
      <c r="L1268" s="9"/>
      <c r="V1268" s="9"/>
      <c r="AF1268" s="9"/>
    </row>
    <row r="1269" spans="2:32" ht="15" x14ac:dyDescent="0.2">
      <c r="B1269" s="9"/>
      <c r="L1269" s="9"/>
      <c r="V1269" s="9"/>
      <c r="AF1269" s="9"/>
    </row>
    <row r="1270" spans="2:32" ht="15" x14ac:dyDescent="0.2">
      <c r="B1270" s="9"/>
      <c r="L1270" s="9"/>
      <c r="V1270" s="9"/>
      <c r="AF1270" s="9"/>
    </row>
    <row r="1271" spans="2:32" ht="15" x14ac:dyDescent="0.2">
      <c r="B1271" s="9"/>
      <c r="L1271" s="9"/>
      <c r="V1271" s="9"/>
      <c r="AF1271" s="9"/>
    </row>
    <row r="1272" spans="2:32" ht="15" x14ac:dyDescent="0.2">
      <c r="B1272" s="9"/>
      <c r="L1272" s="9"/>
      <c r="V1272" s="9"/>
      <c r="AF1272" s="9"/>
    </row>
    <row r="1273" spans="2:32" ht="15" x14ac:dyDescent="0.2">
      <c r="B1273" s="9"/>
      <c r="L1273" s="9"/>
      <c r="V1273" s="9"/>
      <c r="AF1273" s="9"/>
    </row>
    <row r="1274" spans="2:32" ht="15" x14ac:dyDescent="0.2">
      <c r="B1274" s="9"/>
      <c r="L1274" s="9"/>
      <c r="V1274" s="9"/>
      <c r="AF1274" s="9"/>
    </row>
    <row r="1275" spans="2:32" ht="15" x14ac:dyDescent="0.2">
      <c r="B1275" s="9"/>
      <c r="L1275" s="9"/>
      <c r="V1275" s="9"/>
      <c r="AF1275" s="9"/>
    </row>
    <row r="1276" spans="2:32" ht="15" x14ac:dyDescent="0.2">
      <c r="B1276" s="9"/>
      <c r="L1276" s="9"/>
      <c r="V1276" s="9"/>
      <c r="AF1276" s="9"/>
    </row>
    <row r="1277" spans="2:32" ht="15" x14ac:dyDescent="0.2">
      <c r="B1277" s="9"/>
      <c r="L1277" s="9"/>
      <c r="V1277" s="9"/>
      <c r="AF1277" s="9"/>
    </row>
    <row r="1278" spans="2:32" ht="15" x14ac:dyDescent="0.2">
      <c r="B1278" s="9"/>
      <c r="L1278" s="9"/>
      <c r="V1278" s="9"/>
      <c r="AF1278" s="9"/>
    </row>
    <row r="1279" spans="2:32" ht="15" x14ac:dyDescent="0.2">
      <c r="B1279" s="9"/>
      <c r="L1279" s="9"/>
      <c r="V1279" s="9"/>
      <c r="AF1279" s="9"/>
    </row>
    <row r="1280" spans="2:32" ht="15" x14ac:dyDescent="0.2">
      <c r="B1280" s="9"/>
      <c r="L1280" s="9"/>
      <c r="V1280" s="9"/>
      <c r="AF1280" s="9"/>
    </row>
    <row r="1281" spans="2:32" ht="15" x14ac:dyDescent="0.2">
      <c r="B1281" s="9"/>
      <c r="L1281" s="9"/>
      <c r="V1281" s="9"/>
      <c r="AF1281" s="9"/>
    </row>
    <row r="1282" spans="2:32" ht="15" x14ac:dyDescent="0.2">
      <c r="B1282" s="9"/>
      <c r="L1282" s="9"/>
      <c r="V1282" s="9"/>
      <c r="AF1282" s="9"/>
    </row>
    <row r="1283" spans="2:32" ht="15" x14ac:dyDescent="0.2">
      <c r="B1283" s="9"/>
      <c r="L1283" s="9"/>
      <c r="V1283" s="9"/>
      <c r="AF1283" s="9"/>
    </row>
    <row r="1284" spans="2:32" ht="15" x14ac:dyDescent="0.2">
      <c r="B1284" s="9"/>
      <c r="L1284" s="9"/>
      <c r="V1284" s="9"/>
      <c r="AF1284" s="9"/>
    </row>
    <row r="1285" spans="2:32" ht="15" x14ac:dyDescent="0.2">
      <c r="B1285" s="9"/>
      <c r="L1285" s="9"/>
      <c r="V1285" s="9"/>
      <c r="AF1285" s="9"/>
    </row>
    <row r="1286" spans="2:32" ht="15" x14ac:dyDescent="0.2">
      <c r="B1286" s="9"/>
      <c r="L1286" s="9"/>
      <c r="V1286" s="9"/>
      <c r="AF1286" s="9"/>
    </row>
    <row r="1287" spans="2:32" ht="15" x14ac:dyDescent="0.2">
      <c r="B1287" s="9"/>
      <c r="L1287" s="9"/>
      <c r="V1287" s="9"/>
      <c r="AF1287" s="9"/>
    </row>
    <row r="1288" spans="2:32" ht="15" x14ac:dyDescent="0.2">
      <c r="B1288" s="9"/>
      <c r="L1288" s="9"/>
      <c r="V1288" s="9"/>
      <c r="AF1288" s="9"/>
    </row>
    <row r="1289" spans="2:32" ht="15" x14ac:dyDescent="0.2">
      <c r="B1289" s="9"/>
      <c r="L1289" s="9"/>
      <c r="V1289" s="9"/>
      <c r="AF1289" s="9"/>
    </row>
    <row r="1290" spans="2:32" ht="15" x14ac:dyDescent="0.2">
      <c r="B1290" s="9"/>
      <c r="L1290" s="9"/>
      <c r="V1290" s="9"/>
      <c r="AF1290" s="9"/>
    </row>
    <row r="1291" spans="2:32" ht="15" x14ac:dyDescent="0.2">
      <c r="B1291" s="9"/>
      <c r="L1291" s="9"/>
      <c r="V1291" s="9"/>
      <c r="AF1291" s="9"/>
    </row>
    <row r="1292" spans="2:32" ht="15" x14ac:dyDescent="0.2">
      <c r="B1292" s="9"/>
      <c r="L1292" s="9"/>
      <c r="V1292" s="9"/>
      <c r="AF1292" s="9"/>
    </row>
    <row r="1293" spans="2:32" ht="15" x14ac:dyDescent="0.2">
      <c r="B1293" s="9"/>
      <c r="L1293" s="9"/>
      <c r="V1293" s="9"/>
      <c r="AF1293" s="9"/>
    </row>
    <row r="1294" spans="2:32" ht="15" x14ac:dyDescent="0.2">
      <c r="B1294" s="9"/>
      <c r="L1294" s="9"/>
      <c r="V1294" s="9"/>
      <c r="AF1294" s="9"/>
    </row>
    <row r="1295" spans="2:32" ht="15" x14ac:dyDescent="0.2">
      <c r="B1295" s="9"/>
      <c r="L1295" s="9"/>
      <c r="V1295" s="9"/>
      <c r="AF1295" s="9"/>
    </row>
    <row r="1296" spans="2:32" ht="15" x14ac:dyDescent="0.2">
      <c r="B1296" s="9"/>
      <c r="L1296" s="9"/>
      <c r="V1296" s="9"/>
      <c r="AF1296" s="9"/>
    </row>
    <row r="1297" spans="2:32" ht="15" x14ac:dyDescent="0.2">
      <c r="B1297" s="9"/>
      <c r="L1297" s="9"/>
      <c r="V1297" s="9"/>
      <c r="AF1297" s="9"/>
    </row>
    <row r="1298" spans="2:32" ht="15" x14ac:dyDescent="0.2">
      <c r="B1298" s="9"/>
      <c r="L1298" s="9"/>
      <c r="V1298" s="9"/>
      <c r="AF1298" s="9"/>
    </row>
    <row r="1299" spans="2:32" ht="15" x14ac:dyDescent="0.2">
      <c r="B1299" s="9"/>
      <c r="L1299" s="9"/>
      <c r="V1299" s="9"/>
      <c r="AF1299" s="9"/>
    </row>
    <row r="1300" spans="2:32" ht="15" x14ac:dyDescent="0.2">
      <c r="B1300" s="9"/>
      <c r="L1300" s="9"/>
      <c r="V1300" s="9"/>
      <c r="AF1300" s="9"/>
    </row>
    <row r="1301" spans="2:32" ht="15" x14ac:dyDescent="0.2">
      <c r="B1301" s="9"/>
      <c r="L1301" s="9"/>
      <c r="V1301" s="9"/>
      <c r="AF1301" s="9"/>
    </row>
    <row r="1302" spans="2:32" ht="15" x14ac:dyDescent="0.2">
      <c r="B1302" s="9"/>
      <c r="L1302" s="9"/>
      <c r="V1302" s="9"/>
      <c r="AF1302" s="9"/>
    </row>
    <row r="1303" spans="2:32" ht="15" x14ac:dyDescent="0.2">
      <c r="B1303" s="9"/>
      <c r="L1303" s="9"/>
      <c r="V1303" s="9"/>
      <c r="AF1303" s="9"/>
    </row>
    <row r="1304" spans="2:32" ht="15" x14ac:dyDescent="0.2">
      <c r="B1304" s="9"/>
      <c r="L1304" s="9"/>
      <c r="V1304" s="9"/>
      <c r="AF1304" s="9"/>
    </row>
    <row r="1305" spans="2:32" ht="15" x14ac:dyDescent="0.2">
      <c r="B1305" s="9"/>
      <c r="L1305" s="9"/>
      <c r="V1305" s="9"/>
      <c r="AF1305" s="9"/>
    </row>
    <row r="1306" spans="2:32" ht="15" x14ac:dyDescent="0.2">
      <c r="B1306" s="9"/>
      <c r="L1306" s="9"/>
      <c r="V1306" s="9"/>
      <c r="AF1306" s="9"/>
    </row>
    <row r="1307" spans="2:32" ht="15" x14ac:dyDescent="0.2">
      <c r="B1307" s="9"/>
      <c r="L1307" s="9"/>
      <c r="V1307" s="9"/>
      <c r="AF1307" s="9"/>
    </row>
    <row r="1308" spans="2:32" ht="15" x14ac:dyDescent="0.2">
      <c r="B1308" s="9"/>
      <c r="L1308" s="9"/>
      <c r="V1308" s="9"/>
      <c r="AF1308" s="9"/>
    </row>
    <row r="1309" spans="2:32" ht="15" x14ac:dyDescent="0.2">
      <c r="B1309" s="9"/>
      <c r="L1309" s="9"/>
      <c r="V1309" s="9"/>
      <c r="AF1309" s="9"/>
    </row>
    <row r="1310" spans="2:32" ht="15" x14ac:dyDescent="0.2">
      <c r="B1310" s="9"/>
      <c r="L1310" s="9"/>
      <c r="V1310" s="9"/>
      <c r="AF1310" s="9"/>
    </row>
    <row r="1311" spans="2:32" ht="15" x14ac:dyDescent="0.2">
      <c r="B1311" s="9"/>
      <c r="L1311" s="9"/>
      <c r="V1311" s="9"/>
      <c r="AF1311" s="9"/>
    </row>
    <row r="1312" spans="2:32" ht="15" x14ac:dyDescent="0.2">
      <c r="B1312" s="9"/>
      <c r="L1312" s="9"/>
      <c r="V1312" s="9"/>
      <c r="AF1312" s="9"/>
    </row>
    <row r="1313" spans="2:32" ht="15" x14ac:dyDescent="0.2">
      <c r="B1313" s="9"/>
      <c r="L1313" s="9"/>
      <c r="V1313" s="9"/>
      <c r="AF1313" s="9"/>
    </row>
    <row r="1314" spans="2:32" ht="15" x14ac:dyDescent="0.2">
      <c r="B1314" s="9"/>
      <c r="L1314" s="9"/>
      <c r="V1314" s="9"/>
      <c r="AF1314" s="9"/>
    </row>
    <row r="1315" spans="2:32" ht="15" x14ac:dyDescent="0.2">
      <c r="B1315" s="9"/>
      <c r="L1315" s="9"/>
      <c r="V1315" s="9"/>
      <c r="AF1315" s="9"/>
    </row>
    <row r="1316" spans="2:32" ht="15" x14ac:dyDescent="0.2">
      <c r="B1316" s="9"/>
      <c r="L1316" s="9"/>
      <c r="V1316" s="9"/>
      <c r="AF1316" s="9"/>
    </row>
    <row r="1317" spans="2:32" ht="15" x14ac:dyDescent="0.2">
      <c r="B1317" s="9"/>
      <c r="L1317" s="9"/>
      <c r="V1317" s="9"/>
      <c r="AF1317" s="9"/>
    </row>
    <row r="1318" spans="2:32" ht="15" x14ac:dyDescent="0.2">
      <c r="B1318" s="9"/>
      <c r="L1318" s="9"/>
      <c r="V1318" s="9"/>
      <c r="AF1318" s="9"/>
    </row>
    <row r="1319" spans="2:32" ht="15" x14ac:dyDescent="0.2">
      <c r="B1319" s="9"/>
      <c r="L1319" s="9"/>
      <c r="V1319" s="9"/>
      <c r="AF1319" s="9"/>
    </row>
    <row r="1320" spans="2:32" ht="15" x14ac:dyDescent="0.2">
      <c r="B1320" s="9"/>
      <c r="L1320" s="9"/>
      <c r="V1320" s="9"/>
      <c r="AF1320" s="9"/>
    </row>
    <row r="1321" spans="2:32" ht="15" x14ac:dyDescent="0.2">
      <c r="B1321" s="9"/>
      <c r="L1321" s="9"/>
      <c r="V1321" s="9"/>
      <c r="AF1321" s="9"/>
    </row>
    <row r="1322" spans="2:32" ht="15" x14ac:dyDescent="0.2">
      <c r="B1322" s="9"/>
      <c r="L1322" s="9"/>
      <c r="V1322" s="9"/>
      <c r="AF1322" s="9"/>
    </row>
    <row r="1323" spans="2:32" ht="15" x14ac:dyDescent="0.2">
      <c r="B1323" s="9"/>
      <c r="L1323" s="9"/>
      <c r="V1323" s="9"/>
      <c r="AF1323" s="9"/>
    </row>
    <row r="1324" spans="2:32" ht="15" x14ac:dyDescent="0.2">
      <c r="B1324" s="9"/>
      <c r="L1324" s="9"/>
      <c r="V1324" s="9"/>
      <c r="AF1324" s="9"/>
    </row>
    <row r="1325" spans="2:32" ht="15" x14ac:dyDescent="0.2">
      <c r="B1325" s="9"/>
      <c r="L1325" s="9"/>
      <c r="V1325" s="9"/>
      <c r="AF1325" s="9"/>
    </row>
    <row r="1326" spans="2:32" ht="15" x14ac:dyDescent="0.2">
      <c r="B1326" s="9"/>
      <c r="L1326" s="9"/>
      <c r="V1326" s="9"/>
      <c r="AF1326" s="9"/>
    </row>
    <row r="1327" spans="2:32" ht="15" x14ac:dyDescent="0.2">
      <c r="B1327" s="9"/>
      <c r="L1327" s="9"/>
      <c r="V1327" s="9"/>
      <c r="AF1327" s="9"/>
    </row>
    <row r="1328" spans="2:32" ht="15" x14ac:dyDescent="0.2">
      <c r="B1328" s="9"/>
      <c r="L1328" s="9"/>
      <c r="V1328" s="9"/>
      <c r="AF1328" s="9"/>
    </row>
    <row r="1329" spans="2:32" ht="15" x14ac:dyDescent="0.2">
      <c r="B1329" s="9"/>
      <c r="L1329" s="9"/>
      <c r="V1329" s="9"/>
      <c r="AF1329" s="9"/>
    </row>
    <row r="1330" spans="2:32" ht="15" x14ac:dyDescent="0.2">
      <c r="B1330" s="9"/>
      <c r="L1330" s="9"/>
      <c r="V1330" s="9"/>
      <c r="AF1330" s="9"/>
    </row>
    <row r="1331" spans="2:32" ht="15" x14ac:dyDescent="0.2">
      <c r="B1331" s="9"/>
      <c r="L1331" s="9"/>
      <c r="V1331" s="9"/>
      <c r="AF1331" s="9"/>
    </row>
    <row r="1332" spans="2:32" ht="15" x14ac:dyDescent="0.2">
      <c r="B1332" s="9"/>
      <c r="L1332" s="9"/>
      <c r="V1332" s="9"/>
      <c r="AF1332" s="9"/>
    </row>
    <row r="1333" spans="2:32" ht="15" x14ac:dyDescent="0.2">
      <c r="B1333" s="9"/>
      <c r="L1333" s="9"/>
      <c r="V1333" s="9"/>
      <c r="AF1333" s="9"/>
    </row>
    <row r="1334" spans="2:32" ht="15" x14ac:dyDescent="0.2">
      <c r="B1334" s="9"/>
      <c r="L1334" s="9"/>
      <c r="V1334" s="9"/>
      <c r="AF1334" s="9"/>
    </row>
    <row r="1335" spans="2:32" ht="15" x14ac:dyDescent="0.2">
      <c r="B1335" s="9"/>
      <c r="L1335" s="9"/>
      <c r="V1335" s="9"/>
      <c r="AF1335" s="9"/>
    </row>
    <row r="1336" spans="2:32" ht="15" x14ac:dyDescent="0.2">
      <c r="B1336" s="9"/>
      <c r="L1336" s="9"/>
      <c r="V1336" s="9"/>
      <c r="AF1336" s="9"/>
    </row>
    <row r="1337" spans="2:32" ht="15" x14ac:dyDescent="0.2">
      <c r="B1337" s="9"/>
      <c r="L1337" s="9"/>
      <c r="V1337" s="9"/>
      <c r="AF1337" s="9"/>
    </row>
    <row r="1338" spans="2:32" ht="15" x14ac:dyDescent="0.2">
      <c r="B1338" s="9"/>
      <c r="L1338" s="9"/>
      <c r="V1338" s="9"/>
      <c r="AF1338" s="9"/>
    </row>
    <row r="1339" spans="2:32" ht="15" x14ac:dyDescent="0.2">
      <c r="B1339" s="9"/>
      <c r="L1339" s="9"/>
      <c r="V1339" s="9"/>
      <c r="AF1339" s="9"/>
    </row>
    <row r="1340" spans="2:32" ht="15" x14ac:dyDescent="0.2">
      <c r="B1340" s="9"/>
      <c r="L1340" s="9"/>
      <c r="V1340" s="9"/>
      <c r="AF1340" s="9"/>
    </row>
    <row r="1341" spans="2:32" ht="15" x14ac:dyDescent="0.2">
      <c r="B1341" s="9"/>
      <c r="L1341" s="9"/>
      <c r="V1341" s="9"/>
      <c r="AF1341" s="9"/>
    </row>
    <row r="1342" spans="2:32" ht="15" x14ac:dyDescent="0.2">
      <c r="B1342" s="9"/>
      <c r="L1342" s="9"/>
      <c r="V1342" s="9"/>
      <c r="AF1342" s="9"/>
    </row>
    <row r="1343" spans="2:32" ht="15" x14ac:dyDescent="0.2">
      <c r="B1343" s="9"/>
      <c r="L1343" s="9"/>
      <c r="V1343" s="9"/>
      <c r="AF1343" s="9"/>
    </row>
    <row r="1344" spans="2:32" ht="15" x14ac:dyDescent="0.2">
      <c r="B1344" s="9"/>
      <c r="L1344" s="9"/>
      <c r="V1344" s="9"/>
      <c r="AF1344" s="9"/>
    </row>
    <row r="1345" spans="2:32" ht="15" x14ac:dyDescent="0.2">
      <c r="B1345" s="9"/>
      <c r="L1345" s="9"/>
      <c r="V1345" s="9"/>
      <c r="AF1345" s="9"/>
    </row>
    <row r="1346" spans="2:32" ht="15" x14ac:dyDescent="0.2">
      <c r="B1346" s="9"/>
      <c r="L1346" s="9"/>
      <c r="V1346" s="9"/>
      <c r="AF1346" s="9"/>
    </row>
    <row r="1347" spans="2:32" ht="15" x14ac:dyDescent="0.2">
      <c r="B1347" s="9"/>
      <c r="L1347" s="9"/>
      <c r="V1347" s="9"/>
      <c r="AF1347" s="9"/>
    </row>
    <row r="1348" spans="2:32" ht="15" x14ac:dyDescent="0.2">
      <c r="B1348" s="9"/>
      <c r="L1348" s="9"/>
      <c r="V1348" s="9"/>
      <c r="AF1348" s="9"/>
    </row>
    <row r="1349" spans="2:32" ht="15" x14ac:dyDescent="0.2">
      <c r="B1349" s="9"/>
      <c r="L1349" s="9"/>
      <c r="V1349" s="9"/>
      <c r="AF1349" s="9"/>
    </row>
    <row r="1350" spans="2:32" ht="15" x14ac:dyDescent="0.2">
      <c r="B1350" s="9"/>
      <c r="L1350" s="9"/>
      <c r="V1350" s="9"/>
      <c r="AF1350" s="9"/>
    </row>
    <row r="1351" spans="2:32" ht="15" x14ac:dyDescent="0.2">
      <c r="B1351" s="9"/>
      <c r="L1351" s="9"/>
      <c r="V1351" s="9"/>
      <c r="AF1351" s="9"/>
    </row>
    <row r="1352" spans="2:32" ht="15" x14ac:dyDescent="0.2">
      <c r="B1352" s="9"/>
      <c r="L1352" s="9"/>
      <c r="V1352" s="9"/>
      <c r="AF1352" s="9"/>
    </row>
    <row r="1353" spans="2:32" ht="15" x14ac:dyDescent="0.2">
      <c r="B1353" s="9"/>
      <c r="L1353" s="9"/>
      <c r="V1353" s="9"/>
      <c r="AF1353" s="9"/>
    </row>
    <row r="1354" spans="2:32" ht="15" x14ac:dyDescent="0.2">
      <c r="B1354" s="9"/>
      <c r="L1354" s="9"/>
      <c r="V1354" s="9"/>
      <c r="AF1354" s="9"/>
    </row>
    <row r="1355" spans="2:32" ht="15" x14ac:dyDescent="0.2">
      <c r="B1355" s="9"/>
      <c r="L1355" s="9"/>
      <c r="V1355" s="9"/>
      <c r="AF1355" s="9"/>
    </row>
    <row r="1356" spans="2:32" ht="15" x14ac:dyDescent="0.2">
      <c r="B1356" s="9"/>
      <c r="L1356" s="9"/>
      <c r="V1356" s="9"/>
      <c r="AF1356" s="9"/>
    </row>
    <row r="1357" spans="2:32" ht="15" x14ac:dyDescent="0.2">
      <c r="B1357" s="9"/>
      <c r="L1357" s="9"/>
      <c r="V1357" s="9"/>
      <c r="AF1357" s="9"/>
    </row>
    <row r="1358" spans="2:32" ht="15" x14ac:dyDescent="0.2">
      <c r="B1358" s="9"/>
      <c r="L1358" s="9"/>
      <c r="V1358" s="9"/>
      <c r="AF1358" s="9"/>
    </row>
    <row r="1359" spans="2:32" ht="15" x14ac:dyDescent="0.2">
      <c r="B1359" s="9"/>
      <c r="L1359" s="9"/>
      <c r="V1359" s="9"/>
      <c r="AF1359" s="9"/>
    </row>
    <row r="1360" spans="2:32" ht="15" x14ac:dyDescent="0.2">
      <c r="B1360" s="9"/>
      <c r="L1360" s="9"/>
      <c r="V1360" s="9"/>
      <c r="AF1360" s="9"/>
    </row>
    <row r="1361" spans="2:32" ht="15" x14ac:dyDescent="0.2">
      <c r="B1361" s="9"/>
      <c r="L1361" s="9"/>
      <c r="V1361" s="9"/>
      <c r="AF1361" s="9"/>
    </row>
    <row r="1362" spans="2:32" ht="15" x14ac:dyDescent="0.2">
      <c r="B1362" s="9"/>
      <c r="L1362" s="9"/>
      <c r="V1362" s="9"/>
      <c r="AF1362" s="9"/>
    </row>
    <row r="1363" spans="2:32" ht="15" x14ac:dyDescent="0.2">
      <c r="B1363" s="9"/>
      <c r="L1363" s="9"/>
      <c r="V1363" s="9"/>
      <c r="AF1363" s="9"/>
    </row>
    <row r="1364" spans="2:32" ht="15" x14ac:dyDescent="0.2">
      <c r="B1364" s="9"/>
      <c r="L1364" s="9"/>
      <c r="V1364" s="9"/>
      <c r="AF1364" s="9"/>
    </row>
    <row r="1365" spans="2:32" ht="15" x14ac:dyDescent="0.2">
      <c r="B1365" s="9"/>
      <c r="L1365" s="9"/>
      <c r="V1365" s="9"/>
      <c r="AF1365" s="9"/>
    </row>
    <row r="1366" spans="2:32" ht="15" x14ac:dyDescent="0.2">
      <c r="B1366" s="9"/>
      <c r="L1366" s="9"/>
      <c r="V1366" s="9"/>
      <c r="AF1366" s="9"/>
    </row>
    <row r="1367" spans="2:32" ht="15" x14ac:dyDescent="0.2">
      <c r="B1367" s="9"/>
      <c r="L1367" s="9"/>
      <c r="V1367" s="9"/>
      <c r="AF1367" s="9"/>
    </row>
    <row r="1368" spans="2:32" ht="15" x14ac:dyDescent="0.2">
      <c r="B1368" s="9"/>
      <c r="L1368" s="9"/>
      <c r="V1368" s="9"/>
      <c r="AF1368" s="9"/>
    </row>
    <row r="1369" spans="2:32" ht="15" x14ac:dyDescent="0.2">
      <c r="B1369" s="9"/>
      <c r="L1369" s="9"/>
      <c r="V1369" s="9"/>
      <c r="AF1369" s="9"/>
    </row>
    <row r="1370" spans="2:32" ht="15" x14ac:dyDescent="0.2">
      <c r="B1370" s="9"/>
      <c r="L1370" s="9"/>
      <c r="V1370" s="9"/>
      <c r="AF1370" s="9"/>
    </row>
    <row r="1371" spans="2:32" ht="15" x14ac:dyDescent="0.2">
      <c r="B1371" s="9"/>
      <c r="L1371" s="9"/>
      <c r="V1371" s="9"/>
      <c r="AF1371" s="9"/>
    </row>
    <row r="1372" spans="2:32" ht="15" x14ac:dyDescent="0.2">
      <c r="B1372" s="9"/>
      <c r="L1372" s="9"/>
      <c r="V1372" s="9"/>
      <c r="AF1372" s="9"/>
    </row>
    <row r="1373" spans="2:32" ht="15" x14ac:dyDescent="0.2">
      <c r="B1373" s="9"/>
      <c r="L1373" s="9"/>
      <c r="V1373" s="9"/>
      <c r="AF1373" s="9"/>
    </row>
    <row r="1374" spans="2:32" ht="15" x14ac:dyDescent="0.2">
      <c r="B1374" s="9"/>
      <c r="L1374" s="9"/>
      <c r="V1374" s="9"/>
      <c r="AF1374" s="9"/>
    </row>
    <row r="1375" spans="2:32" ht="15" x14ac:dyDescent="0.2">
      <c r="B1375" s="9"/>
      <c r="L1375" s="9"/>
      <c r="V1375" s="9"/>
      <c r="AF1375" s="9"/>
    </row>
    <row r="1376" spans="2:32" ht="15" x14ac:dyDescent="0.2">
      <c r="B1376" s="9"/>
      <c r="L1376" s="9"/>
      <c r="V1376" s="9"/>
      <c r="AF1376" s="9"/>
    </row>
    <row r="1377" spans="2:32" ht="15" x14ac:dyDescent="0.2">
      <c r="B1377" s="9"/>
      <c r="L1377" s="9"/>
      <c r="V1377" s="9"/>
      <c r="AF1377" s="9"/>
    </row>
    <row r="1378" spans="2:32" ht="15" x14ac:dyDescent="0.2">
      <c r="B1378" s="9"/>
      <c r="L1378" s="9"/>
      <c r="V1378" s="9"/>
      <c r="AF1378" s="9"/>
    </row>
    <row r="1379" spans="2:32" ht="15" x14ac:dyDescent="0.2">
      <c r="B1379" s="9"/>
      <c r="L1379" s="9"/>
      <c r="V1379" s="9"/>
      <c r="AF1379" s="9"/>
    </row>
    <row r="1380" spans="2:32" ht="15" x14ac:dyDescent="0.2">
      <c r="B1380" s="9"/>
      <c r="L1380" s="9"/>
      <c r="V1380" s="9"/>
      <c r="AF1380" s="9"/>
    </row>
    <row r="1381" spans="2:32" ht="15" x14ac:dyDescent="0.2">
      <c r="B1381" s="9"/>
      <c r="L1381" s="9"/>
      <c r="V1381" s="9"/>
      <c r="AF1381" s="9"/>
    </row>
    <row r="1382" spans="2:32" ht="15" x14ac:dyDescent="0.2">
      <c r="B1382" s="9"/>
      <c r="L1382" s="9"/>
      <c r="V1382" s="9"/>
      <c r="AF1382" s="9"/>
    </row>
    <row r="1383" spans="2:32" ht="15" x14ac:dyDescent="0.2">
      <c r="B1383" s="9"/>
      <c r="L1383" s="9"/>
      <c r="V1383" s="9"/>
      <c r="AF1383" s="9"/>
    </row>
    <row r="1384" spans="2:32" ht="15" x14ac:dyDescent="0.2">
      <c r="B1384" s="9"/>
      <c r="L1384" s="9"/>
      <c r="V1384" s="9"/>
      <c r="AF1384" s="9"/>
    </row>
    <row r="1385" spans="2:32" ht="15" x14ac:dyDescent="0.2">
      <c r="B1385" s="9"/>
      <c r="L1385" s="9"/>
      <c r="V1385" s="9"/>
      <c r="AF1385" s="9"/>
    </row>
    <row r="1386" spans="2:32" ht="15" x14ac:dyDescent="0.2">
      <c r="B1386" s="9"/>
      <c r="L1386" s="9"/>
      <c r="V1386" s="9"/>
      <c r="AF1386" s="9"/>
    </row>
    <row r="1387" spans="2:32" ht="15" x14ac:dyDescent="0.2">
      <c r="B1387" s="9"/>
      <c r="L1387" s="9"/>
      <c r="V1387" s="9"/>
      <c r="AF1387" s="9"/>
    </row>
    <row r="1388" spans="2:32" ht="15" x14ac:dyDescent="0.2">
      <c r="B1388" s="9"/>
      <c r="L1388" s="9"/>
      <c r="V1388" s="9"/>
      <c r="AF1388" s="9"/>
    </row>
    <row r="1389" spans="2:32" ht="15" x14ac:dyDescent="0.2">
      <c r="B1389" s="9"/>
      <c r="L1389" s="9"/>
      <c r="V1389" s="9"/>
      <c r="AF1389" s="9"/>
    </row>
    <row r="1390" spans="2:32" ht="15" x14ac:dyDescent="0.2">
      <c r="B1390" s="9"/>
      <c r="L1390" s="9"/>
      <c r="V1390" s="9"/>
      <c r="AF1390" s="9"/>
    </row>
    <row r="1391" spans="2:32" ht="15" x14ac:dyDescent="0.2">
      <c r="B1391" s="9"/>
      <c r="L1391" s="9"/>
      <c r="V1391" s="9"/>
      <c r="AF1391" s="9"/>
    </row>
    <row r="1392" spans="2:32" ht="15" x14ac:dyDescent="0.2">
      <c r="B1392" s="9"/>
      <c r="L1392" s="9"/>
      <c r="V1392" s="9"/>
      <c r="AF1392" s="9"/>
    </row>
    <row r="1393" spans="2:32" ht="15" x14ac:dyDescent="0.2">
      <c r="B1393" s="9"/>
      <c r="L1393" s="9"/>
      <c r="V1393" s="9"/>
      <c r="AF1393" s="9"/>
    </row>
    <row r="1394" spans="2:32" ht="15" x14ac:dyDescent="0.2">
      <c r="B1394" s="9"/>
      <c r="L1394" s="9"/>
      <c r="V1394" s="9"/>
      <c r="AF1394" s="9"/>
    </row>
    <row r="1395" spans="2:32" ht="15" x14ac:dyDescent="0.2">
      <c r="B1395" s="9"/>
      <c r="L1395" s="9"/>
      <c r="V1395" s="9"/>
      <c r="AF1395" s="9"/>
    </row>
    <row r="1396" spans="2:32" ht="15" x14ac:dyDescent="0.2">
      <c r="B1396" s="9"/>
      <c r="L1396" s="9"/>
      <c r="V1396" s="9"/>
      <c r="AF1396" s="9"/>
    </row>
    <row r="1397" spans="2:32" ht="15" x14ac:dyDescent="0.2">
      <c r="B1397" s="9"/>
      <c r="L1397" s="9"/>
      <c r="V1397" s="9"/>
      <c r="AF1397" s="9"/>
    </row>
    <row r="1398" spans="2:32" ht="15" x14ac:dyDescent="0.2">
      <c r="B1398" s="9"/>
      <c r="L1398" s="9"/>
      <c r="V1398" s="9"/>
      <c r="AF1398" s="9"/>
    </row>
    <row r="1399" spans="2:32" ht="15" x14ac:dyDescent="0.2">
      <c r="B1399" s="9"/>
      <c r="L1399" s="9"/>
      <c r="V1399" s="9"/>
      <c r="AF1399" s="9"/>
    </row>
    <row r="1400" spans="2:32" ht="15" x14ac:dyDescent="0.2">
      <c r="B1400" s="9"/>
      <c r="L1400" s="9"/>
      <c r="V1400" s="9"/>
      <c r="AF1400" s="9"/>
    </row>
    <row r="1401" spans="2:32" ht="15" x14ac:dyDescent="0.2">
      <c r="B1401" s="9"/>
      <c r="L1401" s="9"/>
      <c r="V1401" s="9"/>
      <c r="AF1401" s="9"/>
    </row>
    <row r="1402" spans="2:32" ht="15" x14ac:dyDescent="0.2">
      <c r="B1402" s="9"/>
      <c r="L1402" s="9"/>
      <c r="V1402" s="9"/>
      <c r="AF1402" s="9"/>
    </row>
    <row r="1403" spans="2:32" ht="15" x14ac:dyDescent="0.2">
      <c r="B1403" s="9"/>
      <c r="L1403" s="9"/>
      <c r="V1403" s="9"/>
      <c r="AF1403" s="9"/>
    </row>
    <row r="1404" spans="2:32" ht="15" x14ac:dyDescent="0.2">
      <c r="B1404" s="9"/>
      <c r="L1404" s="9"/>
      <c r="V1404" s="9"/>
      <c r="AF1404" s="9"/>
    </row>
    <row r="1405" spans="2:32" ht="15" x14ac:dyDescent="0.2">
      <c r="B1405" s="9"/>
      <c r="L1405" s="9"/>
      <c r="V1405" s="9"/>
      <c r="AF1405" s="9"/>
    </row>
    <row r="1406" spans="2:32" ht="15" x14ac:dyDescent="0.2">
      <c r="B1406" s="9"/>
      <c r="L1406" s="9"/>
      <c r="V1406" s="9"/>
      <c r="AF1406" s="9"/>
    </row>
    <row r="1407" spans="2:32" ht="15" x14ac:dyDescent="0.2">
      <c r="B1407" s="9"/>
      <c r="L1407" s="9"/>
      <c r="V1407" s="9"/>
      <c r="AF1407" s="9"/>
    </row>
    <row r="1408" spans="2:32" ht="15" x14ac:dyDescent="0.2">
      <c r="B1408" s="9"/>
      <c r="L1408" s="9"/>
      <c r="V1408" s="9"/>
      <c r="AF1408" s="9"/>
    </row>
    <row r="1409" spans="2:32" ht="15" x14ac:dyDescent="0.2">
      <c r="B1409" s="9"/>
      <c r="L1409" s="9"/>
      <c r="V1409" s="9"/>
      <c r="AF1409" s="9"/>
    </row>
    <row r="1410" spans="2:32" ht="15" x14ac:dyDescent="0.2">
      <c r="B1410" s="9"/>
      <c r="L1410" s="9"/>
      <c r="V1410" s="9"/>
      <c r="AF1410" s="9"/>
    </row>
    <row r="1411" spans="2:32" ht="15" x14ac:dyDescent="0.2">
      <c r="B1411" s="9"/>
      <c r="L1411" s="9"/>
      <c r="V1411" s="9"/>
      <c r="AF1411" s="9"/>
    </row>
    <row r="1412" spans="2:32" ht="15" x14ac:dyDescent="0.2">
      <c r="B1412" s="9"/>
      <c r="L1412" s="9"/>
      <c r="V1412" s="9"/>
      <c r="AF1412" s="9"/>
    </row>
    <row r="1413" spans="2:32" ht="15" x14ac:dyDescent="0.2">
      <c r="B1413" s="9"/>
      <c r="L1413" s="9"/>
      <c r="V1413" s="9"/>
      <c r="AF1413" s="9"/>
    </row>
    <row r="1414" spans="2:32" ht="15" x14ac:dyDescent="0.2">
      <c r="B1414" s="9"/>
      <c r="L1414" s="9"/>
      <c r="V1414" s="9"/>
      <c r="AF1414" s="9"/>
    </row>
    <row r="1415" spans="2:32" ht="15" x14ac:dyDescent="0.2">
      <c r="B1415" s="9"/>
      <c r="L1415" s="9"/>
      <c r="V1415" s="9"/>
      <c r="AF1415" s="9"/>
    </row>
    <row r="1416" spans="2:32" ht="15" x14ac:dyDescent="0.2">
      <c r="B1416" s="9"/>
      <c r="L1416" s="9"/>
      <c r="V1416" s="9"/>
      <c r="AF1416" s="9"/>
    </row>
    <row r="1417" spans="2:32" ht="15" x14ac:dyDescent="0.2">
      <c r="B1417" s="9"/>
      <c r="L1417" s="9"/>
      <c r="V1417" s="9"/>
      <c r="AF1417" s="9"/>
    </row>
    <row r="1418" spans="2:32" ht="15" x14ac:dyDescent="0.2">
      <c r="B1418" s="9"/>
      <c r="L1418" s="9"/>
      <c r="V1418" s="9"/>
      <c r="AF1418" s="9"/>
    </row>
    <row r="1419" spans="2:32" ht="15" x14ac:dyDescent="0.2">
      <c r="B1419" s="9"/>
      <c r="L1419" s="9"/>
      <c r="V1419" s="9"/>
      <c r="AF1419" s="9"/>
    </row>
    <row r="1420" spans="2:32" ht="15" x14ac:dyDescent="0.2">
      <c r="B1420" s="9"/>
      <c r="L1420" s="9"/>
      <c r="V1420" s="9"/>
      <c r="AF1420" s="9"/>
    </row>
    <row r="1421" spans="2:32" ht="15" x14ac:dyDescent="0.2">
      <c r="B1421" s="9"/>
      <c r="L1421" s="9"/>
      <c r="V1421" s="9"/>
      <c r="AF1421" s="9"/>
    </row>
    <row r="1422" spans="2:32" ht="15" x14ac:dyDescent="0.2">
      <c r="B1422" s="9"/>
      <c r="L1422" s="9"/>
      <c r="V1422" s="9"/>
      <c r="AF1422" s="9"/>
    </row>
    <row r="1423" spans="2:32" ht="15" x14ac:dyDescent="0.2">
      <c r="B1423" s="9"/>
      <c r="L1423" s="9"/>
      <c r="V1423" s="9"/>
      <c r="AF1423" s="9"/>
    </row>
    <row r="1424" spans="2:32" ht="15" x14ac:dyDescent="0.2">
      <c r="B1424" s="9"/>
      <c r="L1424" s="9"/>
      <c r="V1424" s="9"/>
      <c r="AF1424" s="9"/>
    </row>
    <row r="1425" spans="2:32" ht="15" x14ac:dyDescent="0.2">
      <c r="B1425" s="9"/>
      <c r="L1425" s="9"/>
      <c r="V1425" s="9"/>
      <c r="AF1425" s="9"/>
    </row>
    <row r="1426" spans="2:32" ht="15" x14ac:dyDescent="0.2">
      <c r="B1426" s="9"/>
      <c r="L1426" s="9"/>
      <c r="V1426" s="9"/>
      <c r="AF1426" s="9"/>
    </row>
    <row r="1427" spans="2:32" ht="15" x14ac:dyDescent="0.2">
      <c r="B1427" s="9"/>
      <c r="L1427" s="9"/>
      <c r="V1427" s="9"/>
      <c r="AF1427" s="9"/>
    </row>
    <row r="1428" spans="2:32" ht="15" x14ac:dyDescent="0.2">
      <c r="B1428" s="9"/>
      <c r="L1428" s="9"/>
      <c r="V1428" s="9"/>
      <c r="AF1428" s="9"/>
    </row>
    <row r="1429" spans="2:32" ht="15" x14ac:dyDescent="0.2">
      <c r="B1429" s="9"/>
      <c r="L1429" s="9"/>
      <c r="V1429" s="9"/>
      <c r="AF1429" s="9"/>
    </row>
    <row r="1430" spans="2:32" ht="15" x14ac:dyDescent="0.2">
      <c r="B1430" s="9"/>
      <c r="L1430" s="9"/>
      <c r="V1430" s="9"/>
      <c r="AF1430" s="9"/>
    </row>
    <row r="1431" spans="2:32" ht="15" x14ac:dyDescent="0.2">
      <c r="B1431" s="9"/>
      <c r="L1431" s="9"/>
      <c r="V1431" s="9"/>
      <c r="AF1431" s="9"/>
    </row>
    <row r="1432" spans="2:32" ht="15" x14ac:dyDescent="0.2">
      <c r="B1432" s="9"/>
      <c r="L1432" s="9"/>
      <c r="V1432" s="9"/>
      <c r="AF1432" s="9"/>
    </row>
    <row r="1433" spans="2:32" ht="15" x14ac:dyDescent="0.2">
      <c r="B1433" s="9"/>
      <c r="L1433" s="9"/>
      <c r="V1433" s="9"/>
      <c r="AF1433" s="9"/>
    </row>
    <row r="1434" spans="2:32" ht="15" x14ac:dyDescent="0.2">
      <c r="B1434" s="9"/>
      <c r="L1434" s="9"/>
      <c r="V1434" s="9"/>
      <c r="AF1434" s="9"/>
    </row>
    <row r="1435" spans="2:32" ht="15" x14ac:dyDescent="0.2">
      <c r="B1435" s="9"/>
      <c r="L1435" s="9"/>
      <c r="V1435" s="9"/>
      <c r="AF1435" s="9"/>
    </row>
    <row r="1436" spans="2:32" ht="15" x14ac:dyDescent="0.2">
      <c r="B1436" s="9"/>
      <c r="L1436" s="9"/>
      <c r="V1436" s="9"/>
      <c r="AF1436" s="9"/>
    </row>
    <row r="1437" spans="2:32" ht="15" x14ac:dyDescent="0.2">
      <c r="B1437" s="9"/>
      <c r="L1437" s="9"/>
      <c r="V1437" s="9"/>
      <c r="AF1437" s="9"/>
    </row>
    <row r="1438" spans="2:32" ht="15" x14ac:dyDescent="0.2">
      <c r="B1438" s="9"/>
      <c r="L1438" s="9"/>
      <c r="V1438" s="9"/>
      <c r="AF1438" s="9"/>
    </row>
    <row r="1439" spans="2:32" ht="15" x14ac:dyDescent="0.2">
      <c r="B1439" s="9"/>
      <c r="L1439" s="9"/>
      <c r="V1439" s="9"/>
      <c r="AF1439" s="9"/>
    </row>
    <row r="1440" spans="2:32" ht="15" x14ac:dyDescent="0.2">
      <c r="B1440" s="9"/>
      <c r="L1440" s="9"/>
      <c r="V1440" s="9"/>
      <c r="AF1440" s="9"/>
    </row>
    <row r="1441" spans="2:32" ht="15" x14ac:dyDescent="0.2">
      <c r="B1441" s="9"/>
      <c r="L1441" s="9"/>
      <c r="V1441" s="9"/>
      <c r="AF1441" s="9"/>
    </row>
    <row r="1442" spans="2:32" ht="15" x14ac:dyDescent="0.2">
      <c r="B1442" s="9"/>
      <c r="L1442" s="9"/>
      <c r="V1442" s="9"/>
      <c r="AF1442" s="9"/>
    </row>
    <row r="1443" spans="2:32" ht="15" x14ac:dyDescent="0.2">
      <c r="B1443" s="9"/>
      <c r="L1443" s="9"/>
      <c r="V1443" s="9"/>
      <c r="AF1443" s="9"/>
    </row>
    <row r="1444" spans="2:32" ht="15" x14ac:dyDescent="0.2">
      <c r="B1444" s="9"/>
      <c r="L1444" s="9"/>
      <c r="V1444" s="9"/>
      <c r="AF1444" s="9"/>
    </row>
    <row r="1445" spans="2:32" ht="15" x14ac:dyDescent="0.2">
      <c r="B1445" s="9"/>
      <c r="L1445" s="9"/>
      <c r="V1445" s="9"/>
      <c r="AF1445" s="9"/>
    </row>
    <row r="1446" spans="2:32" ht="15" x14ac:dyDescent="0.2">
      <c r="B1446" s="9"/>
      <c r="L1446" s="9"/>
      <c r="V1446" s="9"/>
      <c r="AF1446" s="9"/>
    </row>
    <row r="1447" spans="2:32" ht="15" x14ac:dyDescent="0.2">
      <c r="B1447" s="9"/>
      <c r="L1447" s="9"/>
      <c r="V1447" s="9"/>
      <c r="AF1447" s="9"/>
    </row>
    <row r="1448" spans="2:32" ht="15" x14ac:dyDescent="0.2">
      <c r="B1448" s="9"/>
      <c r="L1448" s="9"/>
      <c r="V1448" s="9"/>
      <c r="AF1448" s="9"/>
    </row>
    <row r="1449" spans="2:32" ht="15" x14ac:dyDescent="0.2">
      <c r="B1449" s="9"/>
      <c r="L1449" s="9"/>
      <c r="V1449" s="9"/>
      <c r="AF1449" s="9"/>
    </row>
    <row r="1450" spans="2:32" ht="15" x14ac:dyDescent="0.2">
      <c r="B1450" s="9"/>
      <c r="L1450" s="9"/>
      <c r="V1450" s="9"/>
      <c r="AF1450" s="9"/>
    </row>
    <row r="1451" spans="2:32" ht="15" x14ac:dyDescent="0.2">
      <c r="B1451" s="9"/>
      <c r="L1451" s="9"/>
      <c r="V1451" s="9"/>
      <c r="AF1451" s="9"/>
    </row>
    <row r="1452" spans="2:32" ht="15" x14ac:dyDescent="0.2">
      <c r="B1452" s="9"/>
      <c r="L1452" s="9"/>
      <c r="V1452" s="9"/>
      <c r="AF1452" s="9"/>
    </row>
    <row r="1453" spans="2:32" ht="15" x14ac:dyDescent="0.2">
      <c r="B1453" s="9"/>
      <c r="L1453" s="9"/>
      <c r="V1453" s="9"/>
      <c r="AF1453" s="9"/>
    </row>
    <row r="1454" spans="2:32" ht="15" x14ac:dyDescent="0.2">
      <c r="B1454" s="9"/>
      <c r="L1454" s="9"/>
      <c r="V1454" s="9"/>
      <c r="AF1454" s="9"/>
    </row>
    <row r="1455" spans="2:32" ht="15" x14ac:dyDescent="0.2">
      <c r="B1455" s="9"/>
      <c r="L1455" s="9"/>
      <c r="V1455" s="9"/>
      <c r="AF1455" s="9"/>
    </row>
    <row r="1456" spans="2:32" ht="15" x14ac:dyDescent="0.2">
      <c r="B1456" s="9"/>
      <c r="L1456" s="9"/>
      <c r="V1456" s="9"/>
      <c r="AF1456" s="9"/>
    </row>
    <row r="1457" spans="2:32" ht="15" x14ac:dyDescent="0.2">
      <c r="B1457" s="9"/>
      <c r="L1457" s="9"/>
      <c r="V1457" s="9"/>
      <c r="AF1457" s="9"/>
    </row>
    <row r="1458" spans="2:32" ht="15" x14ac:dyDescent="0.2">
      <c r="B1458" s="9"/>
      <c r="L1458" s="9"/>
      <c r="V1458" s="9"/>
      <c r="AF1458" s="9"/>
    </row>
    <row r="1459" spans="2:32" ht="15" x14ac:dyDescent="0.2">
      <c r="B1459" s="9"/>
      <c r="L1459" s="9"/>
      <c r="V1459" s="9"/>
      <c r="AF1459" s="9"/>
    </row>
    <row r="1460" spans="2:32" ht="15" x14ac:dyDescent="0.2">
      <c r="B1460" s="9"/>
      <c r="L1460" s="9"/>
      <c r="V1460" s="9"/>
      <c r="AF1460" s="9"/>
    </row>
    <row r="1461" spans="2:32" ht="15" x14ac:dyDescent="0.2">
      <c r="B1461" s="9"/>
      <c r="L1461" s="9"/>
      <c r="V1461" s="9"/>
      <c r="AF1461" s="9"/>
    </row>
    <row r="1462" spans="2:32" ht="15" x14ac:dyDescent="0.2">
      <c r="B1462" s="9"/>
      <c r="L1462" s="9"/>
      <c r="V1462" s="9"/>
      <c r="AF1462" s="9"/>
    </row>
    <row r="1463" spans="2:32" ht="15" x14ac:dyDescent="0.2">
      <c r="B1463" s="9"/>
      <c r="L1463" s="9"/>
      <c r="V1463" s="9"/>
      <c r="AF1463" s="9"/>
    </row>
    <row r="1464" spans="2:32" ht="15" x14ac:dyDescent="0.2">
      <c r="B1464" s="9"/>
      <c r="L1464" s="9"/>
      <c r="V1464" s="9"/>
      <c r="AF1464" s="9"/>
    </row>
    <row r="1465" spans="2:32" ht="15" x14ac:dyDescent="0.2">
      <c r="B1465" s="9"/>
      <c r="L1465" s="9"/>
      <c r="V1465" s="9"/>
      <c r="AF1465" s="9"/>
    </row>
    <row r="1466" spans="2:32" ht="15" x14ac:dyDescent="0.2">
      <c r="B1466" s="9"/>
      <c r="L1466" s="9"/>
      <c r="V1466" s="9"/>
      <c r="AF1466" s="9"/>
    </row>
    <row r="1467" spans="2:32" ht="15" x14ac:dyDescent="0.2">
      <c r="B1467" s="9"/>
      <c r="L1467" s="9"/>
      <c r="V1467" s="9"/>
      <c r="AF1467" s="9"/>
    </row>
    <row r="1468" spans="2:32" ht="15" x14ac:dyDescent="0.2">
      <c r="B1468" s="9"/>
      <c r="L1468" s="9"/>
      <c r="V1468" s="9"/>
      <c r="AF1468" s="9"/>
    </row>
    <row r="1469" spans="2:32" ht="15" x14ac:dyDescent="0.2">
      <c r="B1469" s="9"/>
      <c r="L1469" s="9"/>
      <c r="V1469" s="9"/>
      <c r="AF1469" s="9"/>
    </row>
    <row r="1470" spans="2:32" ht="15" x14ac:dyDescent="0.2">
      <c r="B1470" s="9"/>
      <c r="L1470" s="9"/>
      <c r="V1470" s="9"/>
      <c r="AF1470" s="9"/>
    </row>
    <row r="1471" spans="2:32" ht="15" x14ac:dyDescent="0.2">
      <c r="B1471" s="9"/>
      <c r="L1471" s="9"/>
      <c r="V1471" s="9"/>
      <c r="AF1471" s="9"/>
    </row>
    <row r="1472" spans="2:32" ht="15" x14ac:dyDescent="0.2">
      <c r="B1472" s="9"/>
      <c r="L1472" s="9"/>
      <c r="V1472" s="9"/>
      <c r="AF1472" s="9"/>
    </row>
    <row r="1473" spans="2:32" ht="15" x14ac:dyDescent="0.2">
      <c r="B1473" s="9"/>
      <c r="L1473" s="9"/>
      <c r="V1473" s="9"/>
      <c r="AF1473" s="9"/>
    </row>
    <row r="1474" spans="2:32" ht="15" x14ac:dyDescent="0.2">
      <c r="B1474" s="9"/>
      <c r="L1474" s="9"/>
      <c r="V1474" s="9"/>
      <c r="AF1474" s="9"/>
    </row>
    <row r="1475" spans="2:32" ht="15" x14ac:dyDescent="0.2">
      <c r="B1475" s="9"/>
      <c r="L1475" s="9"/>
      <c r="V1475" s="9"/>
      <c r="AF1475" s="9"/>
    </row>
    <row r="1476" spans="2:32" ht="15" x14ac:dyDescent="0.2">
      <c r="B1476" s="9"/>
      <c r="L1476" s="9"/>
      <c r="V1476" s="9"/>
      <c r="AF1476" s="9"/>
    </row>
    <row r="1477" spans="2:32" ht="15" x14ac:dyDescent="0.2">
      <c r="B1477" s="9"/>
      <c r="L1477" s="9"/>
      <c r="V1477" s="9"/>
      <c r="AF1477" s="9"/>
    </row>
    <row r="1478" spans="2:32" ht="15" x14ac:dyDescent="0.2">
      <c r="B1478" s="9"/>
      <c r="L1478" s="9"/>
      <c r="V1478" s="9"/>
      <c r="AF1478" s="9"/>
    </row>
    <row r="1479" spans="2:32" ht="15" x14ac:dyDescent="0.2">
      <c r="B1479" s="9"/>
      <c r="L1479" s="9"/>
      <c r="V1479" s="9"/>
      <c r="AF1479" s="9"/>
    </row>
    <row r="1480" spans="2:32" ht="15" x14ac:dyDescent="0.2">
      <c r="B1480" s="9"/>
      <c r="L1480" s="9"/>
      <c r="V1480" s="9"/>
      <c r="AF1480" s="9"/>
    </row>
    <row r="1481" spans="2:32" ht="15" x14ac:dyDescent="0.2">
      <c r="B1481" s="9"/>
      <c r="L1481" s="9"/>
      <c r="V1481" s="9"/>
      <c r="AF1481" s="9"/>
    </row>
    <row r="1482" spans="2:32" ht="15" x14ac:dyDescent="0.2">
      <c r="B1482" s="9"/>
      <c r="L1482" s="9"/>
      <c r="V1482" s="9"/>
      <c r="AF1482" s="9"/>
    </row>
    <row r="1483" spans="2:32" ht="15" x14ac:dyDescent="0.2">
      <c r="B1483" s="9"/>
      <c r="L1483" s="9"/>
      <c r="V1483" s="9"/>
      <c r="AF1483" s="9"/>
    </row>
    <row r="1484" spans="2:32" ht="15" x14ac:dyDescent="0.2">
      <c r="B1484" s="9"/>
      <c r="L1484" s="9"/>
      <c r="V1484" s="9"/>
      <c r="AF1484" s="9"/>
    </row>
    <row r="1485" spans="2:32" ht="15" x14ac:dyDescent="0.2">
      <c r="B1485" s="9"/>
      <c r="L1485" s="9"/>
      <c r="V1485" s="9"/>
      <c r="AF1485" s="9"/>
    </row>
    <row r="1486" spans="2:32" ht="15" x14ac:dyDescent="0.2">
      <c r="B1486" s="9"/>
      <c r="L1486" s="9"/>
      <c r="V1486" s="9"/>
      <c r="AF1486" s="9"/>
    </row>
    <row r="1487" spans="2:32" ht="15" x14ac:dyDescent="0.2">
      <c r="B1487" s="9"/>
      <c r="L1487" s="9"/>
      <c r="V1487" s="9"/>
      <c r="AF1487" s="9"/>
    </row>
    <row r="1488" spans="2:32" ht="15" x14ac:dyDescent="0.2">
      <c r="B1488" s="9"/>
      <c r="L1488" s="9"/>
      <c r="V1488" s="9"/>
      <c r="AF1488" s="9"/>
    </row>
    <row r="1489" spans="2:32" ht="15" x14ac:dyDescent="0.2">
      <c r="B1489" s="9"/>
      <c r="L1489" s="9"/>
      <c r="V1489" s="9"/>
      <c r="AF1489" s="9"/>
    </row>
    <row r="1490" spans="2:32" ht="15" x14ac:dyDescent="0.2">
      <c r="B1490" s="9"/>
      <c r="L1490" s="9"/>
      <c r="V1490" s="9"/>
      <c r="AF1490" s="9"/>
    </row>
    <row r="1491" spans="2:32" ht="15" x14ac:dyDescent="0.2">
      <c r="B1491" s="9"/>
      <c r="L1491" s="9"/>
      <c r="V1491" s="9"/>
      <c r="AF1491" s="9"/>
    </row>
    <row r="1492" spans="2:32" ht="15" x14ac:dyDescent="0.2">
      <c r="B1492" s="9"/>
      <c r="L1492" s="9"/>
      <c r="V1492" s="9"/>
      <c r="AF1492" s="9"/>
    </row>
    <row r="1493" spans="2:32" ht="15" x14ac:dyDescent="0.2">
      <c r="B1493" s="9"/>
      <c r="L1493" s="9"/>
      <c r="V1493" s="9"/>
      <c r="AF1493" s="9"/>
    </row>
    <row r="1494" spans="2:32" ht="15" x14ac:dyDescent="0.2">
      <c r="B1494" s="9"/>
      <c r="L1494" s="9"/>
      <c r="V1494" s="9"/>
      <c r="AF1494" s="9"/>
    </row>
    <row r="1495" spans="2:32" ht="15" x14ac:dyDescent="0.2">
      <c r="B1495" s="9"/>
      <c r="L1495" s="9"/>
      <c r="V1495" s="9"/>
      <c r="AF1495" s="9"/>
    </row>
    <row r="1496" spans="2:32" ht="15" x14ac:dyDescent="0.2">
      <c r="B1496" s="9"/>
      <c r="L1496" s="9"/>
      <c r="V1496" s="9"/>
      <c r="AF1496" s="9"/>
    </row>
    <row r="1497" spans="2:32" ht="15" x14ac:dyDescent="0.2">
      <c r="B1497" s="9"/>
      <c r="L1497" s="9"/>
      <c r="V1497" s="9"/>
      <c r="AF1497" s="9"/>
    </row>
    <row r="1498" spans="2:32" ht="15" x14ac:dyDescent="0.2">
      <c r="B1498" s="9"/>
      <c r="L1498" s="9"/>
      <c r="V1498" s="9"/>
      <c r="AF1498" s="9"/>
    </row>
    <row r="1499" spans="2:32" ht="15" x14ac:dyDescent="0.2">
      <c r="B1499" s="9"/>
      <c r="L1499" s="9"/>
      <c r="V1499" s="9"/>
      <c r="AF1499" s="9"/>
    </row>
    <row r="1500" spans="2:32" ht="15" x14ac:dyDescent="0.2">
      <c r="B1500" s="9"/>
      <c r="L1500" s="9"/>
      <c r="V1500" s="9"/>
      <c r="AF1500" s="9"/>
    </row>
    <row r="1501" spans="2:32" ht="15" x14ac:dyDescent="0.2">
      <c r="B1501" s="9"/>
      <c r="L1501" s="9"/>
      <c r="V1501" s="9"/>
      <c r="AF1501" s="9"/>
    </row>
    <row r="1502" spans="2:32" ht="15" x14ac:dyDescent="0.2">
      <c r="B1502" s="9"/>
      <c r="L1502" s="9"/>
      <c r="V1502" s="9"/>
      <c r="AF1502" s="9"/>
    </row>
    <row r="1503" spans="2:32" ht="15" x14ac:dyDescent="0.2">
      <c r="B1503" s="9"/>
      <c r="L1503" s="9"/>
      <c r="V1503" s="9"/>
      <c r="AF1503" s="9"/>
    </row>
    <row r="1504" spans="2:32" ht="15" x14ac:dyDescent="0.2">
      <c r="B1504" s="9"/>
      <c r="L1504" s="9"/>
      <c r="V1504" s="9"/>
      <c r="AF1504" s="9"/>
    </row>
    <row r="1505" spans="2:32" ht="15" x14ac:dyDescent="0.2">
      <c r="B1505" s="9"/>
      <c r="L1505" s="9"/>
      <c r="V1505" s="9"/>
      <c r="AF1505" s="9"/>
    </row>
    <row r="1506" spans="2:32" ht="15" x14ac:dyDescent="0.2">
      <c r="B1506" s="9"/>
      <c r="L1506" s="9"/>
      <c r="V1506" s="9"/>
      <c r="AF1506" s="9"/>
    </row>
    <row r="1507" spans="2:32" ht="15" x14ac:dyDescent="0.2">
      <c r="B1507" s="9"/>
      <c r="L1507" s="9"/>
      <c r="V1507" s="9"/>
      <c r="AF1507" s="9"/>
    </row>
    <row r="1508" spans="2:32" ht="15" x14ac:dyDescent="0.2">
      <c r="B1508" s="9"/>
      <c r="L1508" s="9"/>
      <c r="V1508" s="9"/>
      <c r="AF1508" s="9"/>
    </row>
    <row r="1509" spans="2:32" ht="15" x14ac:dyDescent="0.2">
      <c r="B1509" s="9"/>
      <c r="L1509" s="9"/>
      <c r="V1509" s="9"/>
      <c r="AF1509" s="9"/>
    </row>
    <row r="1510" spans="2:32" ht="15" x14ac:dyDescent="0.2">
      <c r="B1510" s="9"/>
      <c r="L1510" s="9"/>
      <c r="V1510" s="9"/>
      <c r="AF1510" s="9"/>
    </row>
    <row r="1511" spans="2:32" ht="15" x14ac:dyDescent="0.2">
      <c r="B1511" s="9"/>
      <c r="L1511" s="9"/>
      <c r="V1511" s="9"/>
      <c r="AF1511" s="9"/>
    </row>
    <row r="1512" spans="2:32" ht="15" x14ac:dyDescent="0.2">
      <c r="B1512" s="9"/>
      <c r="L1512" s="9"/>
      <c r="V1512" s="9"/>
      <c r="AF1512" s="9"/>
    </row>
    <row r="1513" spans="2:32" ht="15" x14ac:dyDescent="0.2">
      <c r="B1513" s="9"/>
      <c r="L1513" s="9"/>
      <c r="V1513" s="9"/>
      <c r="AF1513" s="9"/>
    </row>
    <row r="1514" spans="2:32" ht="15" x14ac:dyDescent="0.2">
      <c r="B1514" s="9"/>
      <c r="L1514" s="9"/>
      <c r="V1514" s="9"/>
      <c r="AF1514" s="9"/>
    </row>
    <row r="1515" spans="2:32" ht="15" x14ac:dyDescent="0.2">
      <c r="B1515" s="9"/>
      <c r="L1515" s="9"/>
      <c r="V1515" s="9"/>
      <c r="AF1515" s="9"/>
    </row>
    <row r="1516" spans="2:32" ht="15" x14ac:dyDescent="0.2">
      <c r="B1516" s="9"/>
      <c r="L1516" s="9"/>
      <c r="V1516" s="9"/>
      <c r="AF1516" s="9"/>
    </row>
    <row r="1517" spans="2:32" ht="15" x14ac:dyDescent="0.2">
      <c r="B1517" s="9"/>
      <c r="L1517" s="9"/>
      <c r="V1517" s="9"/>
      <c r="AF1517" s="9"/>
    </row>
    <row r="1518" spans="2:32" ht="15" x14ac:dyDescent="0.2">
      <c r="B1518" s="9"/>
      <c r="L1518" s="9"/>
      <c r="V1518" s="9"/>
      <c r="AF1518" s="9"/>
    </row>
    <row r="1519" spans="2:32" ht="15" x14ac:dyDescent="0.2">
      <c r="B1519" s="9"/>
      <c r="L1519" s="9"/>
      <c r="V1519" s="9"/>
      <c r="AF1519" s="9"/>
    </row>
    <row r="1520" spans="2:32" ht="15" x14ac:dyDescent="0.2">
      <c r="B1520" s="9"/>
      <c r="L1520" s="9"/>
      <c r="V1520" s="9"/>
      <c r="AF1520" s="9"/>
    </row>
    <row r="1521" spans="2:32" ht="15" x14ac:dyDescent="0.2">
      <c r="B1521" s="9"/>
      <c r="L1521" s="9"/>
      <c r="V1521" s="9"/>
      <c r="AF1521" s="9"/>
    </row>
    <row r="1522" spans="2:32" ht="15" x14ac:dyDescent="0.2">
      <c r="B1522" s="9"/>
      <c r="L1522" s="9"/>
      <c r="V1522" s="9"/>
      <c r="AF1522" s="9"/>
    </row>
    <row r="1523" spans="2:32" ht="15" x14ac:dyDescent="0.2">
      <c r="B1523" s="9"/>
      <c r="L1523" s="9"/>
      <c r="V1523" s="9"/>
      <c r="AF1523" s="9"/>
    </row>
    <row r="1524" spans="2:32" ht="15" x14ac:dyDescent="0.2">
      <c r="B1524" s="9"/>
      <c r="L1524" s="9"/>
      <c r="V1524" s="9"/>
      <c r="AF1524" s="9"/>
    </row>
    <row r="1525" spans="2:32" ht="15" x14ac:dyDescent="0.2">
      <c r="B1525" s="9"/>
      <c r="L1525" s="9"/>
      <c r="V1525" s="9"/>
      <c r="AF1525" s="9"/>
    </row>
    <row r="1526" spans="2:32" ht="15" x14ac:dyDescent="0.2">
      <c r="B1526" s="9"/>
      <c r="L1526" s="9"/>
      <c r="V1526" s="9"/>
      <c r="AF1526" s="9"/>
    </row>
    <row r="1527" spans="2:32" ht="15" x14ac:dyDescent="0.2">
      <c r="B1527" s="9"/>
      <c r="L1527" s="9"/>
      <c r="V1527" s="9"/>
      <c r="AF1527" s="9"/>
    </row>
    <row r="1528" spans="2:32" ht="15" x14ac:dyDescent="0.2">
      <c r="B1528" s="9"/>
      <c r="L1528" s="9"/>
      <c r="V1528" s="9"/>
      <c r="AF1528" s="9"/>
    </row>
    <row r="1529" spans="2:32" ht="15" x14ac:dyDescent="0.2">
      <c r="B1529" s="9"/>
      <c r="L1529" s="9"/>
      <c r="V1529" s="9"/>
      <c r="AF1529" s="9"/>
    </row>
    <row r="1530" spans="2:32" ht="15" x14ac:dyDescent="0.2">
      <c r="B1530" s="9"/>
      <c r="L1530" s="9"/>
      <c r="V1530" s="9"/>
      <c r="AF1530" s="9"/>
    </row>
    <row r="1531" spans="2:32" ht="15" x14ac:dyDescent="0.2">
      <c r="B1531" s="9"/>
      <c r="L1531" s="9"/>
      <c r="V1531" s="9"/>
      <c r="AF1531" s="9"/>
    </row>
    <row r="1532" spans="2:32" ht="15" x14ac:dyDescent="0.2">
      <c r="B1532" s="9"/>
      <c r="L1532" s="9"/>
      <c r="V1532" s="9"/>
      <c r="AF1532" s="9"/>
    </row>
    <row r="1533" spans="2:32" ht="15" x14ac:dyDescent="0.2">
      <c r="B1533" s="9"/>
      <c r="L1533" s="9"/>
      <c r="V1533" s="9"/>
      <c r="AF1533" s="9"/>
    </row>
    <row r="1534" spans="2:32" ht="15" x14ac:dyDescent="0.2">
      <c r="B1534" s="9"/>
      <c r="L1534" s="9"/>
      <c r="V1534" s="9"/>
      <c r="AF1534" s="9"/>
    </row>
    <row r="1535" spans="2:32" ht="15" x14ac:dyDescent="0.2">
      <c r="B1535" s="9"/>
      <c r="L1535" s="9"/>
      <c r="V1535" s="9"/>
      <c r="AF1535" s="9"/>
    </row>
    <row r="1536" spans="2:32" ht="15" x14ac:dyDescent="0.2">
      <c r="B1536" s="9"/>
      <c r="L1536" s="9"/>
      <c r="V1536" s="9"/>
      <c r="AF1536" s="9"/>
    </row>
    <row r="1537" spans="2:32" ht="15" x14ac:dyDescent="0.2">
      <c r="B1537" s="9"/>
      <c r="L1537" s="9"/>
      <c r="V1537" s="9"/>
      <c r="AF1537" s="9"/>
    </row>
    <row r="1538" spans="2:32" ht="15" x14ac:dyDescent="0.2">
      <c r="B1538" s="9"/>
      <c r="L1538" s="9"/>
      <c r="V1538" s="9"/>
      <c r="AF1538" s="9"/>
    </row>
    <row r="1539" spans="2:32" ht="15" x14ac:dyDescent="0.2">
      <c r="B1539" s="9"/>
      <c r="L1539" s="9"/>
      <c r="V1539" s="9"/>
      <c r="AF1539" s="9"/>
    </row>
    <row r="1540" spans="2:32" ht="15" x14ac:dyDescent="0.2">
      <c r="B1540" s="9"/>
      <c r="L1540" s="9"/>
      <c r="V1540" s="9"/>
      <c r="AF1540" s="9"/>
    </row>
    <row r="1541" spans="2:32" ht="15" x14ac:dyDescent="0.2">
      <c r="B1541" s="9"/>
      <c r="L1541" s="9"/>
      <c r="V1541" s="9"/>
      <c r="AF1541" s="9"/>
    </row>
    <row r="1542" spans="2:32" ht="15" x14ac:dyDescent="0.2">
      <c r="B1542" s="9"/>
      <c r="L1542" s="9"/>
      <c r="V1542" s="9"/>
      <c r="AF1542" s="9"/>
    </row>
    <row r="1543" spans="2:32" ht="15" x14ac:dyDescent="0.2">
      <c r="B1543" s="9"/>
      <c r="L1543" s="9"/>
      <c r="V1543" s="9"/>
      <c r="AF1543" s="9"/>
    </row>
    <row r="1544" spans="2:32" ht="15" x14ac:dyDescent="0.2">
      <c r="B1544" s="9"/>
      <c r="L1544" s="9"/>
      <c r="V1544" s="9"/>
      <c r="AF1544" s="9"/>
    </row>
    <row r="1545" spans="2:32" ht="15" x14ac:dyDescent="0.2">
      <c r="B1545" s="9"/>
      <c r="L1545" s="9"/>
      <c r="V1545" s="9"/>
      <c r="AF1545" s="9"/>
    </row>
    <row r="1546" spans="2:32" ht="15" x14ac:dyDescent="0.2">
      <c r="B1546" s="9"/>
      <c r="L1546" s="9"/>
      <c r="V1546" s="9"/>
      <c r="AF1546" s="9"/>
    </row>
    <row r="1547" spans="2:32" ht="15" x14ac:dyDescent="0.2">
      <c r="B1547" s="9"/>
      <c r="L1547" s="9"/>
      <c r="V1547" s="9"/>
      <c r="AF1547" s="9"/>
    </row>
    <row r="1548" spans="2:32" ht="15" x14ac:dyDescent="0.2">
      <c r="B1548" s="9"/>
      <c r="L1548" s="9"/>
      <c r="V1548" s="9"/>
      <c r="AF1548" s="9"/>
    </row>
    <row r="1549" spans="2:32" ht="15" x14ac:dyDescent="0.2">
      <c r="B1549" s="9"/>
      <c r="L1549" s="9"/>
      <c r="V1549" s="9"/>
      <c r="AF1549" s="9"/>
    </row>
    <row r="1550" spans="2:32" ht="15" x14ac:dyDescent="0.2">
      <c r="B1550" s="9"/>
      <c r="L1550" s="9"/>
      <c r="V1550" s="9"/>
      <c r="AF1550" s="9"/>
    </row>
    <row r="1551" spans="2:32" ht="15" x14ac:dyDescent="0.2">
      <c r="B1551" s="9"/>
      <c r="L1551" s="9"/>
      <c r="V1551" s="9"/>
      <c r="AF1551" s="9"/>
    </row>
    <row r="1552" spans="2:32" ht="15" x14ac:dyDescent="0.2">
      <c r="B1552" s="9"/>
      <c r="L1552" s="9"/>
      <c r="V1552" s="9"/>
      <c r="AF1552" s="9"/>
    </row>
    <row r="1553" spans="2:32" ht="15" x14ac:dyDescent="0.2">
      <c r="B1553" s="9"/>
      <c r="L1553" s="9"/>
      <c r="V1553" s="9"/>
      <c r="AF1553" s="9"/>
    </row>
    <row r="1554" spans="2:32" ht="15" x14ac:dyDescent="0.2">
      <c r="B1554" s="9"/>
      <c r="L1554" s="9"/>
      <c r="V1554" s="9"/>
      <c r="AF1554" s="9"/>
    </row>
    <row r="1555" spans="2:32" ht="15" x14ac:dyDescent="0.2">
      <c r="B1555" s="9"/>
      <c r="L1555" s="9"/>
      <c r="V1555" s="9"/>
      <c r="AF1555" s="9"/>
    </row>
    <row r="1556" spans="2:32" ht="15" x14ac:dyDescent="0.2">
      <c r="B1556" s="9"/>
      <c r="L1556" s="9"/>
      <c r="V1556" s="9"/>
      <c r="AF1556" s="9"/>
    </row>
    <row r="1557" spans="2:32" ht="15" x14ac:dyDescent="0.2">
      <c r="B1557" s="9"/>
      <c r="L1557" s="9"/>
      <c r="V1557" s="9"/>
      <c r="AF1557" s="9"/>
    </row>
    <row r="1558" spans="2:32" ht="15" x14ac:dyDescent="0.2">
      <c r="B1558" s="9"/>
      <c r="L1558" s="9"/>
      <c r="V1558" s="9"/>
      <c r="AF1558" s="9"/>
    </row>
    <row r="1559" spans="2:32" ht="15" x14ac:dyDescent="0.2">
      <c r="B1559" s="9"/>
      <c r="L1559" s="9"/>
      <c r="V1559" s="9"/>
      <c r="AF1559" s="9"/>
    </row>
    <row r="1560" spans="2:32" ht="15" x14ac:dyDescent="0.2">
      <c r="B1560" s="9"/>
      <c r="L1560" s="9"/>
      <c r="V1560" s="9"/>
      <c r="AF1560" s="9"/>
    </row>
    <row r="1561" spans="2:32" ht="15" x14ac:dyDescent="0.2">
      <c r="B1561" s="9"/>
      <c r="L1561" s="9"/>
      <c r="V1561" s="9"/>
      <c r="AF1561" s="9"/>
    </row>
    <row r="1562" spans="2:32" ht="15" x14ac:dyDescent="0.2">
      <c r="B1562" s="9"/>
      <c r="L1562" s="9"/>
      <c r="V1562" s="9"/>
      <c r="AF1562" s="9"/>
    </row>
    <row r="1563" spans="2:32" ht="15" x14ac:dyDescent="0.2">
      <c r="B1563" s="9"/>
      <c r="L1563" s="9"/>
      <c r="V1563" s="9"/>
      <c r="AF1563" s="9"/>
    </row>
    <row r="1564" spans="2:32" ht="15" x14ac:dyDescent="0.2">
      <c r="B1564" s="9"/>
      <c r="L1564" s="9"/>
      <c r="V1564" s="9"/>
      <c r="AF1564" s="9"/>
    </row>
    <row r="1565" spans="2:32" ht="15" x14ac:dyDescent="0.2">
      <c r="B1565" s="9"/>
      <c r="L1565" s="9"/>
      <c r="V1565" s="9"/>
      <c r="AF1565" s="9"/>
    </row>
    <row r="1566" spans="2:32" ht="15" x14ac:dyDescent="0.2">
      <c r="B1566" s="9"/>
      <c r="L1566" s="9"/>
      <c r="V1566" s="9"/>
      <c r="AF1566" s="9"/>
    </row>
    <row r="1567" spans="2:32" ht="15" x14ac:dyDescent="0.2">
      <c r="B1567" s="9"/>
      <c r="L1567" s="9"/>
      <c r="V1567" s="9"/>
      <c r="AF1567" s="9"/>
    </row>
    <row r="1568" spans="2:32" ht="15" x14ac:dyDescent="0.2">
      <c r="B1568" s="9"/>
      <c r="L1568" s="9"/>
      <c r="V1568" s="9"/>
      <c r="AF1568" s="9"/>
    </row>
    <row r="1569" spans="2:32" ht="15" x14ac:dyDescent="0.2">
      <c r="B1569" s="9"/>
      <c r="L1569" s="9"/>
      <c r="V1569" s="9"/>
      <c r="AF1569" s="9"/>
    </row>
    <row r="1570" spans="2:32" ht="15" x14ac:dyDescent="0.2">
      <c r="B1570" s="9"/>
      <c r="L1570" s="9"/>
      <c r="V1570" s="9"/>
      <c r="AF1570" s="9"/>
    </row>
    <row r="1571" spans="2:32" ht="15" x14ac:dyDescent="0.2">
      <c r="B1571" s="9"/>
      <c r="L1571" s="9"/>
      <c r="V1571" s="9"/>
      <c r="AF1571" s="9"/>
    </row>
    <row r="1572" spans="2:32" ht="15" x14ac:dyDescent="0.2">
      <c r="B1572" s="9"/>
      <c r="L1572" s="9"/>
      <c r="V1572" s="9"/>
      <c r="AF1572" s="9"/>
    </row>
    <row r="1573" spans="2:32" ht="15" x14ac:dyDescent="0.2">
      <c r="B1573" s="9"/>
      <c r="L1573" s="9"/>
      <c r="V1573" s="9"/>
      <c r="AF1573" s="9"/>
    </row>
    <row r="1574" spans="2:32" ht="15" x14ac:dyDescent="0.2">
      <c r="B1574" s="9"/>
      <c r="L1574" s="9"/>
      <c r="V1574" s="9"/>
      <c r="AF1574" s="9"/>
    </row>
    <row r="1575" spans="2:32" ht="15" x14ac:dyDescent="0.2">
      <c r="B1575" s="9"/>
      <c r="L1575" s="9"/>
      <c r="V1575" s="9"/>
      <c r="AF1575" s="9"/>
    </row>
    <row r="1576" spans="2:32" ht="15" x14ac:dyDescent="0.2">
      <c r="B1576" s="9"/>
      <c r="L1576" s="9"/>
      <c r="V1576" s="9"/>
      <c r="AF1576" s="9"/>
    </row>
    <row r="1577" spans="2:32" ht="15" x14ac:dyDescent="0.2">
      <c r="B1577" s="9"/>
      <c r="L1577" s="9"/>
      <c r="V1577" s="9"/>
      <c r="AF1577" s="9"/>
    </row>
    <row r="1578" spans="2:32" ht="15" x14ac:dyDescent="0.2">
      <c r="B1578" s="9"/>
      <c r="L1578" s="9"/>
      <c r="V1578" s="9"/>
      <c r="AF1578" s="9"/>
    </row>
    <row r="1579" spans="2:32" ht="15" x14ac:dyDescent="0.2">
      <c r="B1579" s="9"/>
      <c r="L1579" s="9"/>
      <c r="V1579" s="9"/>
      <c r="AF1579" s="9"/>
    </row>
    <row r="1580" spans="2:32" ht="15" x14ac:dyDescent="0.2">
      <c r="B1580" s="9"/>
      <c r="L1580" s="9"/>
      <c r="V1580" s="9"/>
      <c r="AF1580" s="9"/>
    </row>
    <row r="1581" spans="2:32" ht="15" x14ac:dyDescent="0.2">
      <c r="B1581" s="9"/>
      <c r="L1581" s="9"/>
      <c r="V1581" s="9"/>
      <c r="AF1581" s="9"/>
    </row>
    <row r="1582" spans="2:32" ht="15" x14ac:dyDescent="0.2">
      <c r="B1582" s="9"/>
      <c r="L1582" s="9"/>
      <c r="V1582" s="9"/>
      <c r="AF1582" s="9"/>
    </row>
    <row r="1583" spans="2:32" ht="15" x14ac:dyDescent="0.2">
      <c r="B1583" s="9"/>
      <c r="L1583" s="9"/>
      <c r="V1583" s="9"/>
      <c r="AF1583" s="9"/>
    </row>
    <row r="1584" spans="2:32" ht="15" x14ac:dyDescent="0.2">
      <c r="B1584" s="9"/>
      <c r="L1584" s="9"/>
      <c r="V1584" s="9"/>
      <c r="AF1584" s="9"/>
    </row>
    <row r="1585" spans="2:32" ht="15" x14ac:dyDescent="0.2">
      <c r="B1585" s="9"/>
      <c r="L1585" s="9"/>
      <c r="V1585" s="9"/>
      <c r="AF1585" s="9"/>
    </row>
    <row r="1586" spans="2:32" ht="15" x14ac:dyDescent="0.2">
      <c r="B1586" s="9"/>
      <c r="L1586" s="9"/>
      <c r="V1586" s="9"/>
      <c r="AF1586" s="9"/>
    </row>
    <row r="1587" spans="2:32" ht="15" x14ac:dyDescent="0.2">
      <c r="B1587" s="9"/>
      <c r="L1587" s="9"/>
      <c r="V1587" s="9"/>
      <c r="AF1587" s="9"/>
    </row>
    <row r="1588" spans="2:32" ht="15" x14ac:dyDescent="0.2">
      <c r="B1588" s="9"/>
      <c r="L1588" s="9"/>
      <c r="V1588" s="9"/>
      <c r="AF1588" s="9"/>
    </row>
    <row r="1589" spans="2:32" ht="15" x14ac:dyDescent="0.2">
      <c r="B1589" s="9"/>
      <c r="L1589" s="9"/>
      <c r="V1589" s="9"/>
      <c r="AF1589" s="9"/>
    </row>
    <row r="1590" spans="2:32" ht="15" x14ac:dyDescent="0.2">
      <c r="B1590" s="9"/>
      <c r="L1590" s="9"/>
      <c r="V1590" s="9"/>
      <c r="AF1590" s="9"/>
    </row>
    <row r="1591" spans="2:32" ht="15" x14ac:dyDescent="0.2">
      <c r="B1591" s="9"/>
      <c r="L1591" s="9"/>
      <c r="V1591" s="9"/>
      <c r="AF1591" s="9"/>
    </row>
    <row r="1592" spans="2:32" ht="15" x14ac:dyDescent="0.2">
      <c r="B1592" s="9"/>
      <c r="L1592" s="9"/>
      <c r="V1592" s="9"/>
      <c r="AF1592" s="9"/>
    </row>
    <row r="1593" spans="2:32" ht="15" x14ac:dyDescent="0.2">
      <c r="B1593" s="9"/>
      <c r="L1593" s="9"/>
      <c r="V1593" s="9"/>
      <c r="AF1593" s="9"/>
    </row>
    <row r="1594" spans="2:32" ht="15" x14ac:dyDescent="0.2">
      <c r="B1594" s="9"/>
      <c r="L1594" s="9"/>
      <c r="V1594" s="9"/>
      <c r="AF1594" s="9"/>
    </row>
    <row r="1595" spans="2:32" ht="15" x14ac:dyDescent="0.2">
      <c r="B1595" s="9"/>
      <c r="L1595" s="9"/>
      <c r="V1595" s="9"/>
      <c r="AF1595" s="9"/>
    </row>
    <row r="1596" spans="2:32" ht="15" x14ac:dyDescent="0.2">
      <c r="B1596" s="9"/>
      <c r="L1596" s="9"/>
      <c r="V1596" s="9"/>
      <c r="AF1596" s="9"/>
    </row>
    <row r="1597" spans="2:32" ht="15" x14ac:dyDescent="0.2">
      <c r="B1597" s="9"/>
      <c r="L1597" s="9"/>
      <c r="V1597" s="9"/>
      <c r="AF1597" s="9"/>
    </row>
    <row r="1598" spans="2:32" ht="15" x14ac:dyDescent="0.2">
      <c r="B1598" s="9"/>
      <c r="L1598" s="9"/>
      <c r="V1598" s="9"/>
      <c r="AF1598" s="9"/>
    </row>
    <row r="1599" spans="2:32" ht="15" x14ac:dyDescent="0.2">
      <c r="B1599" s="9"/>
      <c r="L1599" s="9"/>
      <c r="V1599" s="9"/>
      <c r="AF1599" s="9"/>
    </row>
    <row r="1600" spans="2:32" ht="15" x14ac:dyDescent="0.2">
      <c r="B1600" s="9"/>
      <c r="L1600" s="9"/>
      <c r="V1600" s="9"/>
      <c r="AF1600" s="9"/>
    </row>
    <row r="1601" spans="2:32" ht="15" x14ac:dyDescent="0.2">
      <c r="B1601" s="9"/>
      <c r="L1601" s="9"/>
      <c r="V1601" s="9"/>
      <c r="AF1601" s="9"/>
    </row>
    <row r="1602" spans="2:32" ht="15" x14ac:dyDescent="0.2">
      <c r="B1602" s="9"/>
      <c r="L1602" s="9"/>
      <c r="V1602" s="9"/>
      <c r="AF1602" s="9"/>
    </row>
    <row r="1603" spans="2:32" ht="15" x14ac:dyDescent="0.2">
      <c r="B1603" s="9"/>
      <c r="L1603" s="9"/>
      <c r="V1603" s="9"/>
      <c r="AF1603" s="9"/>
    </row>
    <row r="1604" spans="2:32" ht="15" x14ac:dyDescent="0.2">
      <c r="B1604" s="9"/>
      <c r="L1604" s="9"/>
      <c r="V1604" s="9"/>
      <c r="AF1604" s="9"/>
    </row>
    <row r="1605" spans="2:32" ht="15" x14ac:dyDescent="0.2">
      <c r="B1605" s="9"/>
      <c r="L1605" s="9"/>
      <c r="V1605" s="9"/>
      <c r="AF1605" s="9"/>
    </row>
    <row r="1606" spans="2:32" ht="15" x14ac:dyDescent="0.2">
      <c r="B1606" s="9"/>
      <c r="L1606" s="9"/>
      <c r="V1606" s="9"/>
      <c r="AF1606" s="9"/>
    </row>
    <row r="1607" spans="2:32" ht="15" x14ac:dyDescent="0.2">
      <c r="B1607" s="9"/>
      <c r="L1607" s="9"/>
      <c r="V1607" s="9"/>
      <c r="AF1607" s="9"/>
    </row>
    <row r="1608" spans="2:32" ht="15" x14ac:dyDescent="0.2">
      <c r="B1608" s="9"/>
      <c r="L1608" s="9"/>
      <c r="V1608" s="9"/>
      <c r="AF1608" s="9"/>
    </row>
    <row r="1609" spans="2:32" ht="15" x14ac:dyDescent="0.2">
      <c r="B1609" s="9"/>
      <c r="L1609" s="9"/>
      <c r="V1609" s="9"/>
      <c r="AF1609" s="9"/>
    </row>
    <row r="1610" spans="2:32" ht="15" x14ac:dyDescent="0.2">
      <c r="B1610" s="9"/>
      <c r="L1610" s="9"/>
      <c r="V1610" s="9"/>
      <c r="AF1610" s="9"/>
    </row>
    <row r="1611" spans="2:32" ht="15" x14ac:dyDescent="0.2">
      <c r="B1611" s="9"/>
      <c r="L1611" s="9"/>
      <c r="V1611" s="9"/>
      <c r="AF1611" s="9"/>
    </row>
    <row r="1612" spans="2:32" ht="15" x14ac:dyDescent="0.2">
      <c r="B1612" s="9"/>
      <c r="L1612" s="9"/>
      <c r="V1612" s="9"/>
      <c r="AF1612" s="9"/>
    </row>
    <row r="1613" spans="2:32" ht="15" x14ac:dyDescent="0.2">
      <c r="B1613" s="9"/>
      <c r="L1613" s="9"/>
      <c r="V1613" s="9"/>
      <c r="AF1613" s="9"/>
    </row>
    <row r="1614" spans="2:32" ht="15" x14ac:dyDescent="0.2">
      <c r="B1614" s="9"/>
      <c r="L1614" s="9"/>
      <c r="V1614" s="9"/>
      <c r="AF1614" s="9"/>
    </row>
    <row r="1615" spans="2:32" ht="15" x14ac:dyDescent="0.2">
      <c r="B1615" s="9"/>
      <c r="L1615" s="9"/>
      <c r="V1615" s="9"/>
      <c r="AF1615" s="9"/>
    </row>
    <row r="1616" spans="2:32" ht="15" x14ac:dyDescent="0.2">
      <c r="B1616" s="9"/>
      <c r="L1616" s="9"/>
      <c r="V1616" s="9"/>
      <c r="AF1616" s="9"/>
    </row>
    <row r="1617" spans="2:32" ht="15" x14ac:dyDescent="0.2">
      <c r="B1617" s="9"/>
      <c r="L1617" s="9"/>
      <c r="V1617" s="9"/>
      <c r="AF1617" s="9"/>
    </row>
    <row r="1618" spans="2:32" ht="15" x14ac:dyDescent="0.2">
      <c r="B1618" s="9"/>
      <c r="L1618" s="9"/>
      <c r="V1618" s="9"/>
      <c r="AF1618" s="9"/>
    </row>
    <row r="1619" spans="2:32" ht="15" x14ac:dyDescent="0.2">
      <c r="B1619" s="9"/>
      <c r="L1619" s="9"/>
      <c r="V1619" s="9"/>
      <c r="AF1619" s="9"/>
    </row>
    <row r="1620" spans="2:32" ht="15" x14ac:dyDescent="0.2">
      <c r="B1620" s="9"/>
      <c r="L1620" s="9"/>
      <c r="V1620" s="9"/>
      <c r="AF1620" s="9"/>
    </row>
    <row r="1621" spans="2:32" ht="15" x14ac:dyDescent="0.2">
      <c r="B1621" s="9"/>
      <c r="L1621" s="9"/>
      <c r="V1621" s="9"/>
      <c r="AF1621" s="9"/>
    </row>
    <row r="1622" spans="2:32" ht="15" x14ac:dyDescent="0.2">
      <c r="B1622" s="9"/>
      <c r="L1622" s="9"/>
      <c r="V1622" s="9"/>
      <c r="AF1622" s="9"/>
    </row>
    <row r="1623" spans="2:32" ht="15" x14ac:dyDescent="0.2">
      <c r="B1623" s="9"/>
      <c r="L1623" s="9"/>
      <c r="V1623" s="9"/>
      <c r="AF1623" s="9"/>
    </row>
    <row r="1624" spans="2:32" ht="15" x14ac:dyDescent="0.2">
      <c r="B1624" s="9"/>
      <c r="L1624" s="9"/>
      <c r="V1624" s="9"/>
      <c r="AF1624" s="9"/>
    </row>
    <row r="1625" spans="2:32" ht="15" x14ac:dyDescent="0.2">
      <c r="B1625" s="9"/>
      <c r="L1625" s="9"/>
      <c r="V1625" s="9"/>
      <c r="AF1625" s="9"/>
    </row>
    <row r="1626" spans="2:32" ht="15" x14ac:dyDescent="0.2">
      <c r="B1626" s="9"/>
      <c r="L1626" s="9"/>
      <c r="V1626" s="9"/>
      <c r="AF1626" s="9"/>
    </row>
    <row r="1627" spans="2:32" ht="15" x14ac:dyDescent="0.2">
      <c r="B1627" s="9"/>
      <c r="L1627" s="9"/>
      <c r="V1627" s="9"/>
      <c r="AF1627" s="9"/>
    </row>
    <row r="1628" spans="2:32" ht="15" x14ac:dyDescent="0.2">
      <c r="B1628" s="9"/>
      <c r="L1628" s="9"/>
      <c r="V1628" s="9"/>
      <c r="AF1628" s="9"/>
    </row>
    <row r="1629" spans="2:32" ht="15" x14ac:dyDescent="0.2">
      <c r="B1629" s="9"/>
      <c r="L1629" s="9"/>
      <c r="V1629" s="9"/>
      <c r="AF1629" s="9"/>
    </row>
    <row r="1630" spans="2:32" ht="15" x14ac:dyDescent="0.2">
      <c r="B1630" s="9"/>
      <c r="L1630" s="9"/>
      <c r="V1630" s="9"/>
      <c r="AF1630" s="9"/>
    </row>
    <row r="1631" spans="2:32" ht="15" x14ac:dyDescent="0.2">
      <c r="B1631" s="9"/>
      <c r="L1631" s="9"/>
      <c r="V1631" s="9"/>
      <c r="AF1631" s="9"/>
    </row>
    <row r="1632" spans="2:32" ht="15" x14ac:dyDescent="0.2">
      <c r="B1632" s="9"/>
      <c r="L1632" s="9"/>
      <c r="V1632" s="9"/>
      <c r="AF1632" s="9"/>
    </row>
    <row r="1633" spans="2:32" ht="15" x14ac:dyDescent="0.2">
      <c r="B1633" s="9"/>
      <c r="L1633" s="9"/>
      <c r="V1633" s="9"/>
      <c r="AF1633" s="9"/>
    </row>
    <row r="1634" spans="2:32" ht="15" x14ac:dyDescent="0.2">
      <c r="B1634" s="9"/>
      <c r="L1634" s="9"/>
      <c r="V1634" s="9"/>
      <c r="AF1634" s="9"/>
    </row>
    <row r="1635" spans="2:32" ht="15" x14ac:dyDescent="0.2">
      <c r="B1635" s="9"/>
      <c r="L1635" s="9"/>
      <c r="V1635" s="9"/>
      <c r="AF1635" s="9"/>
    </row>
    <row r="1636" spans="2:32" ht="15" x14ac:dyDescent="0.2">
      <c r="B1636" s="9"/>
      <c r="L1636" s="9"/>
      <c r="V1636" s="9"/>
      <c r="AF1636" s="9"/>
    </row>
    <row r="1637" spans="2:32" ht="15" x14ac:dyDescent="0.2">
      <c r="B1637" s="9"/>
      <c r="L1637" s="9"/>
      <c r="V1637" s="9"/>
      <c r="AF1637" s="9"/>
    </row>
    <row r="1638" spans="2:32" ht="15" x14ac:dyDescent="0.2">
      <c r="B1638" s="9"/>
      <c r="L1638" s="9"/>
      <c r="V1638" s="9"/>
      <c r="AF1638" s="9"/>
    </row>
    <row r="1639" spans="2:32" ht="15" x14ac:dyDescent="0.2">
      <c r="B1639" s="9"/>
      <c r="L1639" s="9"/>
      <c r="V1639" s="9"/>
      <c r="AF1639" s="9"/>
    </row>
    <row r="1640" spans="2:32" ht="15" x14ac:dyDescent="0.2">
      <c r="B1640" s="9"/>
      <c r="L1640" s="9"/>
      <c r="V1640" s="9"/>
      <c r="AF1640" s="9"/>
    </row>
    <row r="1641" spans="2:32" ht="15" x14ac:dyDescent="0.2">
      <c r="B1641" s="9"/>
      <c r="L1641" s="9"/>
      <c r="V1641" s="9"/>
      <c r="AF1641" s="9"/>
    </row>
    <row r="1642" spans="2:32" ht="15" x14ac:dyDescent="0.2">
      <c r="B1642" s="9"/>
      <c r="L1642" s="9"/>
      <c r="V1642" s="9"/>
      <c r="AF1642" s="9"/>
    </row>
    <row r="1643" spans="2:32" ht="15" x14ac:dyDescent="0.2">
      <c r="B1643" s="9"/>
      <c r="L1643" s="9"/>
      <c r="V1643" s="9"/>
      <c r="AF1643" s="9"/>
    </row>
    <row r="1644" spans="2:32" ht="15" x14ac:dyDescent="0.2">
      <c r="B1644" s="9"/>
      <c r="L1644" s="9"/>
      <c r="V1644" s="9"/>
      <c r="AF1644" s="9"/>
    </row>
    <row r="1645" spans="2:32" ht="15" x14ac:dyDescent="0.2">
      <c r="B1645" s="9"/>
      <c r="L1645" s="9"/>
      <c r="V1645" s="9"/>
      <c r="AF1645" s="9"/>
    </row>
    <row r="1646" spans="2:32" ht="15" x14ac:dyDescent="0.2">
      <c r="B1646" s="9"/>
      <c r="L1646" s="9"/>
      <c r="V1646" s="9"/>
      <c r="AF1646" s="9"/>
    </row>
    <row r="1647" spans="2:32" ht="15" x14ac:dyDescent="0.2">
      <c r="B1647" s="9"/>
      <c r="L1647" s="9"/>
      <c r="V1647" s="9"/>
      <c r="AF1647" s="9"/>
    </row>
    <row r="1648" spans="2:32" ht="15" x14ac:dyDescent="0.2">
      <c r="B1648" s="9"/>
      <c r="L1648" s="9"/>
      <c r="V1648" s="9"/>
      <c r="AF1648" s="9"/>
    </row>
    <row r="1649" spans="2:32" ht="15" x14ac:dyDescent="0.2">
      <c r="B1649" s="9"/>
      <c r="L1649" s="9"/>
      <c r="V1649" s="9"/>
      <c r="AF1649" s="9"/>
    </row>
    <row r="1650" spans="2:32" ht="15" x14ac:dyDescent="0.2">
      <c r="B1650" s="9"/>
      <c r="L1650" s="9"/>
      <c r="V1650" s="9"/>
      <c r="AF1650" s="9"/>
    </row>
    <row r="1651" spans="2:32" ht="15" x14ac:dyDescent="0.2">
      <c r="B1651" s="9"/>
      <c r="L1651" s="9"/>
      <c r="V1651" s="9"/>
      <c r="AF1651" s="9"/>
    </row>
    <row r="1652" spans="2:32" ht="15" x14ac:dyDescent="0.2">
      <c r="B1652" s="9"/>
      <c r="L1652" s="9"/>
      <c r="V1652" s="9"/>
      <c r="AF1652" s="9"/>
    </row>
    <row r="1653" spans="2:32" ht="15" x14ac:dyDescent="0.2">
      <c r="B1653" s="9"/>
      <c r="L1653" s="9"/>
      <c r="V1653" s="9"/>
      <c r="AF1653" s="9"/>
    </row>
    <row r="1654" spans="2:32" ht="15" x14ac:dyDescent="0.2">
      <c r="B1654" s="9"/>
      <c r="L1654" s="9"/>
      <c r="V1654" s="9"/>
      <c r="AF1654" s="9"/>
    </row>
    <row r="1655" spans="2:32" ht="15" x14ac:dyDescent="0.2">
      <c r="B1655" s="9"/>
      <c r="L1655" s="9"/>
      <c r="V1655" s="9"/>
      <c r="AF1655" s="9"/>
    </row>
    <row r="1656" spans="2:32" ht="15" x14ac:dyDescent="0.2">
      <c r="B1656" s="9"/>
      <c r="L1656" s="9"/>
      <c r="V1656" s="9"/>
      <c r="AF1656" s="9"/>
    </row>
    <row r="1657" spans="2:32" ht="15" x14ac:dyDescent="0.2">
      <c r="B1657" s="9"/>
      <c r="L1657" s="9"/>
      <c r="V1657" s="9"/>
      <c r="AF1657" s="9"/>
    </row>
    <row r="1658" spans="2:32" ht="15" x14ac:dyDescent="0.2">
      <c r="B1658" s="9"/>
      <c r="L1658" s="9"/>
      <c r="V1658" s="9"/>
      <c r="AF1658" s="9"/>
    </row>
    <row r="1659" spans="2:32" ht="15" x14ac:dyDescent="0.2">
      <c r="B1659" s="9"/>
      <c r="L1659" s="9"/>
      <c r="V1659" s="9"/>
      <c r="AF1659" s="9"/>
    </row>
    <row r="1660" spans="2:32" ht="15" x14ac:dyDescent="0.2">
      <c r="B1660" s="9"/>
      <c r="L1660" s="9"/>
      <c r="V1660" s="9"/>
      <c r="AF1660" s="9"/>
    </row>
    <row r="1661" spans="2:32" ht="15" x14ac:dyDescent="0.2">
      <c r="B1661" s="9"/>
      <c r="L1661" s="9"/>
      <c r="V1661" s="9"/>
      <c r="AF1661" s="9"/>
    </row>
    <row r="1662" spans="2:32" ht="15" x14ac:dyDescent="0.2">
      <c r="B1662" s="9"/>
      <c r="L1662" s="9"/>
      <c r="V1662" s="9"/>
      <c r="AF1662" s="9"/>
    </row>
    <row r="1663" spans="2:32" ht="15" x14ac:dyDescent="0.2">
      <c r="B1663" s="9"/>
      <c r="L1663" s="9"/>
      <c r="V1663" s="9"/>
      <c r="AF1663" s="9"/>
    </row>
    <row r="1664" spans="2:32" ht="15" x14ac:dyDescent="0.2">
      <c r="B1664" s="9"/>
      <c r="L1664" s="9"/>
      <c r="V1664" s="9"/>
      <c r="AF1664" s="9"/>
    </row>
    <row r="1665" spans="2:32" ht="15" x14ac:dyDescent="0.2">
      <c r="B1665" s="9"/>
      <c r="L1665" s="9"/>
      <c r="V1665" s="9"/>
      <c r="AF1665" s="9"/>
    </row>
    <row r="1666" spans="2:32" ht="15" x14ac:dyDescent="0.2">
      <c r="B1666" s="9"/>
      <c r="L1666" s="9"/>
      <c r="V1666" s="9"/>
      <c r="AF1666" s="9"/>
    </row>
    <row r="1667" spans="2:32" ht="15" x14ac:dyDescent="0.2">
      <c r="B1667" s="9"/>
      <c r="L1667" s="9"/>
      <c r="V1667" s="9"/>
      <c r="AF1667" s="9"/>
    </row>
    <row r="1668" spans="2:32" ht="15" x14ac:dyDescent="0.2">
      <c r="B1668" s="9"/>
      <c r="L1668" s="9"/>
      <c r="V1668" s="9"/>
      <c r="AF1668" s="9"/>
    </row>
    <row r="1669" spans="2:32" ht="15" x14ac:dyDescent="0.2">
      <c r="B1669" s="9"/>
      <c r="L1669" s="9"/>
      <c r="V1669" s="9"/>
      <c r="AF1669" s="9"/>
    </row>
    <row r="1670" spans="2:32" ht="15" x14ac:dyDescent="0.2">
      <c r="B1670" s="9"/>
      <c r="L1670" s="9"/>
      <c r="V1670" s="9"/>
      <c r="AF1670" s="9"/>
    </row>
    <row r="1671" spans="2:32" ht="15" x14ac:dyDescent="0.2">
      <c r="B1671" s="9"/>
      <c r="L1671" s="9"/>
      <c r="V1671" s="9"/>
      <c r="AF1671" s="9"/>
    </row>
    <row r="1672" spans="2:32" ht="15" x14ac:dyDescent="0.2">
      <c r="B1672" s="9"/>
      <c r="L1672" s="9"/>
      <c r="V1672" s="9"/>
      <c r="AF1672" s="9"/>
    </row>
    <row r="1673" spans="2:32" ht="15" x14ac:dyDescent="0.2">
      <c r="B1673" s="9"/>
      <c r="L1673" s="9"/>
      <c r="V1673" s="9"/>
      <c r="AF1673" s="9"/>
    </row>
    <row r="1674" spans="2:32" ht="15" x14ac:dyDescent="0.2">
      <c r="B1674" s="9"/>
      <c r="L1674" s="9"/>
      <c r="V1674" s="9"/>
      <c r="AF1674" s="9"/>
    </row>
    <row r="1675" spans="2:32" ht="15" x14ac:dyDescent="0.2">
      <c r="B1675" s="9"/>
      <c r="L1675" s="9"/>
      <c r="V1675" s="9"/>
      <c r="AF1675" s="9"/>
    </row>
    <row r="1676" spans="2:32" ht="15" x14ac:dyDescent="0.2">
      <c r="B1676" s="9"/>
      <c r="L1676" s="9"/>
      <c r="V1676" s="9"/>
      <c r="AF1676" s="9"/>
    </row>
    <row r="1677" spans="2:32" ht="15" x14ac:dyDescent="0.2">
      <c r="B1677" s="9"/>
      <c r="L1677" s="9"/>
      <c r="V1677" s="9"/>
      <c r="AF1677" s="9"/>
    </row>
    <row r="1678" spans="2:32" ht="15" x14ac:dyDescent="0.2">
      <c r="B1678" s="9"/>
      <c r="L1678" s="9"/>
      <c r="V1678" s="9"/>
      <c r="AF1678" s="9"/>
    </row>
    <row r="1679" spans="2:32" ht="15" x14ac:dyDescent="0.2">
      <c r="B1679" s="9"/>
      <c r="L1679" s="9"/>
      <c r="V1679" s="9"/>
      <c r="AF1679" s="9"/>
    </row>
    <row r="1680" spans="2:32" ht="15" x14ac:dyDescent="0.2">
      <c r="B1680" s="9"/>
      <c r="L1680" s="9"/>
      <c r="V1680" s="9"/>
      <c r="AF1680" s="9"/>
    </row>
    <row r="1681" spans="2:32" ht="15" x14ac:dyDescent="0.2">
      <c r="B1681" s="9"/>
      <c r="L1681" s="9"/>
      <c r="V1681" s="9"/>
      <c r="AF1681" s="9"/>
    </row>
    <row r="1682" spans="2:32" ht="15" x14ac:dyDescent="0.2">
      <c r="B1682" s="9"/>
      <c r="L1682" s="9"/>
      <c r="V1682" s="9"/>
      <c r="AF1682" s="9"/>
    </row>
    <row r="1683" spans="2:32" ht="15" x14ac:dyDescent="0.2">
      <c r="B1683" s="9"/>
      <c r="L1683" s="9"/>
      <c r="V1683" s="9"/>
      <c r="AF1683" s="9"/>
    </row>
    <row r="1684" spans="2:32" ht="15" x14ac:dyDescent="0.2">
      <c r="B1684" s="9"/>
      <c r="L1684" s="9"/>
      <c r="V1684" s="9"/>
      <c r="AF1684" s="9"/>
    </row>
    <row r="1685" spans="2:32" ht="15" x14ac:dyDescent="0.2">
      <c r="B1685" s="9"/>
      <c r="L1685" s="9"/>
      <c r="V1685" s="9"/>
      <c r="AF1685" s="9"/>
    </row>
    <row r="1686" spans="2:32" ht="15" x14ac:dyDescent="0.2">
      <c r="B1686" s="9"/>
      <c r="L1686" s="9"/>
      <c r="V1686" s="9"/>
      <c r="AF1686" s="9"/>
    </row>
    <row r="1687" spans="2:32" ht="15" x14ac:dyDescent="0.2">
      <c r="B1687" s="9"/>
      <c r="L1687" s="9"/>
      <c r="V1687" s="9"/>
      <c r="AF1687" s="9"/>
    </row>
    <row r="1688" spans="2:32" ht="15" x14ac:dyDescent="0.2">
      <c r="B1688" s="9"/>
      <c r="L1688" s="9"/>
      <c r="V1688" s="9"/>
      <c r="AF1688" s="9"/>
    </row>
    <row r="1689" spans="2:32" ht="15" x14ac:dyDescent="0.2">
      <c r="B1689" s="9"/>
      <c r="L1689" s="9"/>
      <c r="V1689" s="9"/>
      <c r="AF1689" s="9"/>
    </row>
    <row r="1690" spans="2:32" ht="15" x14ac:dyDescent="0.2">
      <c r="B1690" s="9"/>
      <c r="L1690" s="9"/>
      <c r="V1690" s="9"/>
      <c r="AF1690" s="9"/>
    </row>
    <row r="1691" spans="2:32" ht="15" x14ac:dyDescent="0.2">
      <c r="B1691" s="9"/>
      <c r="L1691" s="9"/>
      <c r="V1691" s="9"/>
      <c r="AF1691" s="9"/>
    </row>
    <row r="1692" spans="2:32" ht="15" x14ac:dyDescent="0.2">
      <c r="B1692" s="9"/>
      <c r="L1692" s="9"/>
      <c r="V1692" s="9"/>
      <c r="AF1692" s="9"/>
    </row>
    <row r="1693" spans="2:32" ht="15" x14ac:dyDescent="0.2">
      <c r="B1693" s="9"/>
      <c r="L1693" s="9"/>
      <c r="V1693" s="9"/>
      <c r="AF1693" s="9"/>
    </row>
    <row r="1694" spans="2:32" ht="15" x14ac:dyDescent="0.2">
      <c r="B1694" s="9"/>
      <c r="L1694" s="9"/>
      <c r="V1694" s="9"/>
      <c r="AF1694" s="9"/>
    </row>
    <row r="1695" spans="2:32" ht="15" x14ac:dyDescent="0.2">
      <c r="B1695" s="9"/>
      <c r="L1695" s="9"/>
      <c r="V1695" s="9"/>
      <c r="AF1695" s="9"/>
    </row>
    <row r="1696" spans="2:32" ht="15" x14ac:dyDescent="0.2">
      <c r="B1696" s="9"/>
      <c r="L1696" s="9"/>
      <c r="V1696" s="9"/>
      <c r="AF1696" s="9"/>
    </row>
    <row r="1697" spans="2:32" ht="15" x14ac:dyDescent="0.2">
      <c r="B1697" s="9"/>
      <c r="L1697" s="9"/>
      <c r="V1697" s="9"/>
      <c r="AF1697" s="9"/>
    </row>
    <row r="1698" spans="2:32" ht="15" x14ac:dyDescent="0.2">
      <c r="B1698" s="9"/>
      <c r="L1698" s="9"/>
      <c r="V1698" s="9"/>
      <c r="AF1698" s="9"/>
    </row>
    <row r="1699" spans="2:32" ht="15" x14ac:dyDescent="0.2">
      <c r="B1699" s="9"/>
      <c r="L1699" s="9"/>
      <c r="V1699" s="9"/>
      <c r="AF1699" s="9"/>
    </row>
    <row r="1700" spans="2:32" ht="15" x14ac:dyDescent="0.2">
      <c r="B1700" s="9"/>
      <c r="L1700" s="9"/>
      <c r="V1700" s="9"/>
      <c r="AF1700" s="9"/>
    </row>
    <row r="1701" spans="2:32" ht="15" x14ac:dyDescent="0.2">
      <c r="B1701" s="9"/>
      <c r="L1701" s="9"/>
      <c r="V1701" s="9"/>
      <c r="AF1701" s="9"/>
    </row>
    <row r="1702" spans="2:32" ht="15" x14ac:dyDescent="0.2">
      <c r="B1702" s="9"/>
      <c r="L1702" s="9"/>
      <c r="V1702" s="9"/>
      <c r="AF1702" s="9"/>
    </row>
    <row r="1703" spans="2:32" ht="15" x14ac:dyDescent="0.2">
      <c r="B1703" s="9"/>
      <c r="L1703" s="9"/>
      <c r="V1703" s="9"/>
      <c r="AF1703" s="9"/>
    </row>
    <row r="1704" spans="2:32" ht="15" x14ac:dyDescent="0.2">
      <c r="B1704" s="9"/>
      <c r="L1704" s="9"/>
      <c r="V1704" s="9"/>
      <c r="AF1704" s="9"/>
    </row>
    <row r="1705" spans="2:32" ht="15" x14ac:dyDescent="0.2">
      <c r="B1705" s="9"/>
      <c r="L1705" s="9"/>
      <c r="V1705" s="9"/>
      <c r="AF1705" s="9"/>
    </row>
    <row r="1706" spans="2:32" ht="15" x14ac:dyDescent="0.2">
      <c r="B1706" s="9"/>
      <c r="L1706" s="9"/>
      <c r="V1706" s="9"/>
      <c r="AF1706" s="9"/>
    </row>
    <row r="1707" spans="2:32" ht="15" x14ac:dyDescent="0.2">
      <c r="B1707" s="9"/>
      <c r="L1707" s="9"/>
      <c r="V1707" s="9"/>
      <c r="AF1707" s="9"/>
    </row>
    <row r="1708" spans="2:32" ht="15" x14ac:dyDescent="0.2">
      <c r="B1708" s="9"/>
      <c r="L1708" s="9"/>
      <c r="V1708" s="9"/>
      <c r="AF1708" s="9"/>
    </row>
    <row r="1709" spans="2:32" ht="15" x14ac:dyDescent="0.2">
      <c r="B1709" s="9"/>
      <c r="L1709" s="9"/>
      <c r="V1709" s="9"/>
      <c r="AF1709" s="9"/>
    </row>
    <row r="1710" spans="2:32" ht="15" x14ac:dyDescent="0.2">
      <c r="B1710" s="9"/>
      <c r="L1710" s="9"/>
      <c r="V1710" s="9"/>
      <c r="AF1710" s="9"/>
    </row>
    <row r="1711" spans="2:32" ht="15" x14ac:dyDescent="0.2">
      <c r="B1711" s="9"/>
      <c r="L1711" s="9"/>
      <c r="V1711" s="9"/>
      <c r="AF1711" s="9"/>
    </row>
    <row r="1712" spans="2:32" ht="15" x14ac:dyDescent="0.2">
      <c r="B1712" s="9"/>
      <c r="L1712" s="9"/>
      <c r="V1712" s="9"/>
      <c r="AF1712" s="9"/>
    </row>
    <row r="1713" spans="2:32" ht="15" x14ac:dyDescent="0.2">
      <c r="B1713" s="9"/>
      <c r="L1713" s="9"/>
      <c r="V1713" s="9"/>
      <c r="AF1713" s="9"/>
    </row>
    <row r="1714" spans="2:32" ht="15" x14ac:dyDescent="0.2">
      <c r="B1714" s="9"/>
      <c r="L1714" s="9"/>
      <c r="V1714" s="9"/>
      <c r="AF1714" s="9"/>
    </row>
    <row r="1715" spans="2:32" ht="15" x14ac:dyDescent="0.2">
      <c r="B1715" s="9"/>
      <c r="L1715" s="9"/>
      <c r="V1715" s="9"/>
      <c r="AF1715" s="9"/>
    </row>
    <row r="1716" spans="2:32" ht="15" x14ac:dyDescent="0.2">
      <c r="B1716" s="9"/>
      <c r="L1716" s="9"/>
      <c r="V1716" s="9"/>
      <c r="AF1716" s="9"/>
    </row>
    <row r="1717" spans="2:32" ht="15" x14ac:dyDescent="0.2">
      <c r="B1717" s="9"/>
      <c r="L1717" s="9"/>
      <c r="V1717" s="9"/>
      <c r="AF1717" s="9"/>
    </row>
    <row r="1718" spans="2:32" ht="15" x14ac:dyDescent="0.2">
      <c r="B1718" s="9"/>
      <c r="L1718" s="9"/>
      <c r="V1718" s="9"/>
      <c r="AF1718" s="9"/>
    </row>
    <row r="1719" spans="2:32" ht="15" x14ac:dyDescent="0.2">
      <c r="B1719" s="9"/>
      <c r="L1719" s="9"/>
      <c r="V1719" s="9"/>
      <c r="AF1719" s="9"/>
    </row>
    <row r="1720" spans="2:32" ht="15" x14ac:dyDescent="0.2">
      <c r="B1720" s="9"/>
      <c r="L1720" s="9"/>
      <c r="V1720" s="9"/>
      <c r="AF1720" s="9"/>
    </row>
    <row r="1721" spans="2:32" ht="15" x14ac:dyDescent="0.2">
      <c r="B1721" s="9"/>
      <c r="L1721" s="9"/>
      <c r="V1721" s="9"/>
      <c r="AF1721" s="9"/>
    </row>
    <row r="1722" spans="2:32" ht="15" x14ac:dyDescent="0.2">
      <c r="B1722" s="9"/>
      <c r="L1722" s="9"/>
      <c r="V1722" s="9"/>
      <c r="AF1722" s="9"/>
    </row>
    <row r="1723" spans="2:32" ht="15" x14ac:dyDescent="0.2">
      <c r="B1723" s="9"/>
      <c r="L1723" s="9"/>
      <c r="V1723" s="9"/>
      <c r="AF1723" s="9"/>
    </row>
    <row r="1724" spans="2:32" ht="15" x14ac:dyDescent="0.2">
      <c r="B1724" s="9"/>
      <c r="L1724" s="9"/>
      <c r="V1724" s="9"/>
      <c r="AF1724" s="9"/>
    </row>
    <row r="1725" spans="2:32" ht="15" x14ac:dyDescent="0.2">
      <c r="B1725" s="9"/>
      <c r="L1725" s="9"/>
      <c r="V1725" s="9"/>
      <c r="AF1725" s="9"/>
    </row>
    <row r="1726" spans="2:32" ht="15" x14ac:dyDescent="0.2">
      <c r="B1726" s="9"/>
      <c r="L1726" s="9"/>
      <c r="V1726" s="9"/>
      <c r="AF1726" s="9"/>
    </row>
    <row r="1727" spans="2:32" ht="15" x14ac:dyDescent="0.2">
      <c r="B1727" s="9"/>
      <c r="L1727" s="9"/>
      <c r="V1727" s="9"/>
      <c r="AF1727" s="9"/>
    </row>
    <row r="1728" spans="2:32" ht="15" x14ac:dyDescent="0.2">
      <c r="B1728" s="9"/>
      <c r="L1728" s="9"/>
      <c r="V1728" s="9"/>
      <c r="AF1728" s="9"/>
    </row>
    <row r="1729" spans="2:32" ht="15" x14ac:dyDescent="0.2">
      <c r="B1729" s="9"/>
      <c r="L1729" s="9"/>
      <c r="V1729" s="9"/>
      <c r="AF1729" s="9"/>
    </row>
    <row r="1730" spans="2:32" ht="15" x14ac:dyDescent="0.2">
      <c r="B1730" s="9"/>
      <c r="L1730" s="9"/>
      <c r="V1730" s="9"/>
      <c r="AF1730" s="9"/>
    </row>
    <row r="1731" spans="2:32" ht="15" x14ac:dyDescent="0.2">
      <c r="B1731" s="9"/>
      <c r="L1731" s="9"/>
      <c r="V1731" s="9"/>
      <c r="AF1731" s="9"/>
    </row>
    <row r="1732" spans="2:32" ht="15" x14ac:dyDescent="0.2">
      <c r="B1732" s="9"/>
      <c r="L1732" s="9"/>
      <c r="V1732" s="9"/>
      <c r="AF1732" s="9"/>
    </row>
    <row r="1733" spans="2:32" ht="15" x14ac:dyDescent="0.2">
      <c r="B1733" s="9"/>
      <c r="L1733" s="9"/>
      <c r="V1733" s="9"/>
      <c r="AF1733" s="9"/>
    </row>
    <row r="1734" spans="2:32" ht="15" x14ac:dyDescent="0.2">
      <c r="B1734" s="9"/>
      <c r="L1734" s="9"/>
      <c r="V1734" s="9"/>
      <c r="AF1734" s="9"/>
    </row>
    <row r="1735" spans="2:32" ht="15" x14ac:dyDescent="0.2">
      <c r="B1735" s="9"/>
      <c r="L1735" s="9"/>
      <c r="V1735" s="9"/>
      <c r="AF1735" s="9"/>
    </row>
    <row r="1736" spans="2:32" ht="15" x14ac:dyDescent="0.2">
      <c r="B1736" s="9"/>
      <c r="L1736" s="9"/>
      <c r="V1736" s="9"/>
      <c r="AF1736" s="9"/>
    </row>
    <row r="1737" spans="2:32" ht="15" x14ac:dyDescent="0.2">
      <c r="B1737" s="9"/>
      <c r="L1737" s="9"/>
      <c r="V1737" s="9"/>
      <c r="AF1737" s="9"/>
    </row>
    <row r="1738" spans="2:32" ht="15" x14ac:dyDescent="0.2">
      <c r="B1738" s="9"/>
      <c r="L1738" s="9"/>
      <c r="V1738" s="9"/>
      <c r="AF1738" s="9"/>
    </row>
    <row r="1739" spans="2:32" ht="15" x14ac:dyDescent="0.2">
      <c r="B1739" s="9"/>
      <c r="L1739" s="9"/>
      <c r="V1739" s="9"/>
      <c r="AF1739" s="9"/>
    </row>
    <row r="1740" spans="2:32" ht="15" x14ac:dyDescent="0.2">
      <c r="B1740" s="9"/>
      <c r="L1740" s="9"/>
      <c r="V1740" s="9"/>
      <c r="AF1740" s="9"/>
    </row>
    <row r="1741" spans="2:32" ht="15" x14ac:dyDescent="0.2">
      <c r="B1741" s="9"/>
      <c r="L1741" s="9"/>
      <c r="V1741" s="9"/>
      <c r="AF1741" s="9"/>
    </row>
    <row r="1742" spans="2:32" ht="15" x14ac:dyDescent="0.2">
      <c r="B1742" s="9"/>
      <c r="L1742" s="9"/>
      <c r="V1742" s="9"/>
      <c r="AF1742" s="9"/>
    </row>
    <row r="1743" spans="2:32" ht="15" x14ac:dyDescent="0.2">
      <c r="B1743" s="9"/>
      <c r="L1743" s="9"/>
      <c r="V1743" s="9"/>
      <c r="AF1743" s="9"/>
    </row>
    <row r="1744" spans="2:32" ht="15" x14ac:dyDescent="0.2">
      <c r="B1744" s="9"/>
      <c r="L1744" s="9"/>
      <c r="V1744" s="9"/>
      <c r="AF1744" s="9"/>
    </row>
    <row r="1745" spans="2:32" ht="15" x14ac:dyDescent="0.2">
      <c r="B1745" s="9"/>
      <c r="L1745" s="9"/>
      <c r="V1745" s="9"/>
      <c r="AF1745" s="9"/>
    </row>
    <row r="1746" spans="2:32" ht="15" x14ac:dyDescent="0.2">
      <c r="B1746" s="9"/>
      <c r="L1746" s="9"/>
      <c r="V1746" s="9"/>
      <c r="AF1746" s="9"/>
    </row>
    <row r="1747" spans="2:32" ht="15" x14ac:dyDescent="0.2">
      <c r="B1747" s="9"/>
      <c r="L1747" s="9"/>
      <c r="V1747" s="9"/>
      <c r="AF1747" s="9"/>
    </row>
    <row r="1748" spans="2:32" ht="15" x14ac:dyDescent="0.2">
      <c r="B1748" s="9"/>
      <c r="L1748" s="9"/>
      <c r="V1748" s="9"/>
      <c r="AF1748" s="9"/>
    </row>
    <row r="1749" spans="2:32" ht="15" x14ac:dyDescent="0.2">
      <c r="B1749" s="9"/>
      <c r="L1749" s="9"/>
      <c r="V1749" s="9"/>
      <c r="AF1749" s="9"/>
    </row>
    <row r="1750" spans="2:32" ht="15" x14ac:dyDescent="0.2">
      <c r="B1750" s="9"/>
      <c r="L1750" s="9"/>
      <c r="V1750" s="9"/>
      <c r="AF1750" s="9"/>
    </row>
    <row r="1751" spans="2:32" ht="15" x14ac:dyDescent="0.2">
      <c r="B1751" s="9"/>
      <c r="L1751" s="9"/>
      <c r="V1751" s="9"/>
      <c r="AF1751" s="9"/>
    </row>
    <row r="1752" spans="2:32" ht="15" x14ac:dyDescent="0.2">
      <c r="B1752" s="9"/>
      <c r="L1752" s="9"/>
      <c r="V1752" s="9"/>
      <c r="AF1752" s="9"/>
    </row>
    <row r="1753" spans="2:32" ht="15" x14ac:dyDescent="0.2">
      <c r="B1753" s="9"/>
      <c r="L1753" s="9"/>
      <c r="V1753" s="9"/>
      <c r="AF1753" s="9"/>
    </row>
    <row r="1754" spans="2:32" ht="15" x14ac:dyDescent="0.2">
      <c r="B1754" s="9"/>
      <c r="L1754" s="9"/>
      <c r="V1754" s="9"/>
      <c r="AF1754" s="9"/>
    </row>
    <row r="1755" spans="2:32" ht="15" x14ac:dyDescent="0.2">
      <c r="B1755" s="9"/>
      <c r="L1755" s="9"/>
      <c r="V1755" s="9"/>
      <c r="AF1755" s="9"/>
    </row>
    <row r="1756" spans="2:32" ht="15" x14ac:dyDescent="0.2">
      <c r="B1756" s="9"/>
      <c r="L1756" s="9"/>
      <c r="V1756" s="9"/>
      <c r="AF1756" s="9"/>
    </row>
    <row r="1757" spans="2:32" ht="15" x14ac:dyDescent="0.2">
      <c r="B1757" s="9"/>
      <c r="L1757" s="9"/>
      <c r="V1757" s="9"/>
      <c r="AF1757" s="9"/>
    </row>
    <row r="1758" spans="2:32" ht="15" x14ac:dyDescent="0.2">
      <c r="B1758" s="9"/>
      <c r="L1758" s="9"/>
      <c r="V1758" s="9"/>
      <c r="AF1758" s="9"/>
    </row>
    <row r="1759" spans="2:32" ht="15" x14ac:dyDescent="0.2">
      <c r="B1759" s="9"/>
      <c r="L1759" s="9"/>
      <c r="V1759" s="9"/>
      <c r="AF1759" s="9"/>
    </row>
    <row r="1760" spans="2:32" ht="15" x14ac:dyDescent="0.2">
      <c r="B1760" s="9"/>
      <c r="L1760" s="9"/>
      <c r="V1760" s="9"/>
      <c r="AF1760" s="9"/>
    </row>
    <row r="1761" spans="2:32" ht="15" x14ac:dyDescent="0.2">
      <c r="B1761" s="9"/>
      <c r="L1761" s="9"/>
      <c r="V1761" s="9"/>
      <c r="AF1761" s="9"/>
    </row>
    <row r="1762" spans="2:32" ht="15" x14ac:dyDescent="0.2">
      <c r="B1762" s="9"/>
      <c r="L1762" s="9"/>
      <c r="V1762" s="9"/>
      <c r="AF1762" s="9"/>
    </row>
    <row r="1763" spans="2:32" ht="15" x14ac:dyDescent="0.2">
      <c r="B1763" s="9"/>
      <c r="L1763" s="9"/>
      <c r="V1763" s="9"/>
      <c r="AF1763" s="9"/>
    </row>
    <row r="1764" spans="2:32" ht="15" x14ac:dyDescent="0.2">
      <c r="B1764" s="9"/>
      <c r="L1764" s="9"/>
      <c r="V1764" s="9"/>
      <c r="AF1764" s="9"/>
    </row>
    <row r="1765" spans="2:32" ht="15" x14ac:dyDescent="0.2">
      <c r="B1765" s="9"/>
      <c r="L1765" s="9"/>
      <c r="V1765" s="9"/>
      <c r="AF1765" s="9"/>
    </row>
    <row r="1766" spans="2:32" ht="15" x14ac:dyDescent="0.2">
      <c r="B1766" s="9"/>
      <c r="L1766" s="9"/>
      <c r="V1766" s="9"/>
      <c r="AF1766" s="9"/>
    </row>
    <row r="1767" spans="2:32" ht="15" x14ac:dyDescent="0.2">
      <c r="B1767" s="9"/>
      <c r="L1767" s="9"/>
      <c r="V1767" s="9"/>
      <c r="AF1767" s="9"/>
    </row>
    <row r="1768" spans="2:32" ht="15" x14ac:dyDescent="0.2">
      <c r="B1768" s="9"/>
      <c r="L1768" s="9"/>
      <c r="V1768" s="9"/>
      <c r="AF1768" s="9"/>
    </row>
    <row r="1769" spans="2:32" ht="15" x14ac:dyDescent="0.2">
      <c r="B1769" s="9"/>
      <c r="L1769" s="9"/>
      <c r="V1769" s="9"/>
      <c r="AF1769" s="9"/>
    </row>
    <row r="1770" spans="2:32" ht="15" x14ac:dyDescent="0.2">
      <c r="B1770" s="9"/>
      <c r="L1770" s="9"/>
      <c r="V1770" s="9"/>
      <c r="AF1770" s="9"/>
    </row>
    <row r="1771" spans="2:32" ht="15" x14ac:dyDescent="0.2">
      <c r="B1771" s="9"/>
      <c r="L1771" s="9"/>
      <c r="V1771" s="9"/>
      <c r="AF1771" s="9"/>
    </row>
    <row r="1772" spans="2:32" ht="15" x14ac:dyDescent="0.2">
      <c r="B1772" s="9"/>
      <c r="L1772" s="9"/>
      <c r="V1772" s="9"/>
      <c r="AF1772" s="9"/>
    </row>
    <row r="1773" spans="2:32" ht="15" x14ac:dyDescent="0.2">
      <c r="B1773" s="9"/>
      <c r="L1773" s="9"/>
      <c r="V1773" s="9"/>
      <c r="AF1773" s="9"/>
    </row>
    <row r="1774" spans="2:32" ht="15" x14ac:dyDescent="0.2">
      <c r="B1774" s="9"/>
      <c r="L1774" s="9"/>
      <c r="V1774" s="9"/>
      <c r="AF1774" s="9"/>
    </row>
    <row r="1775" spans="2:32" ht="15" x14ac:dyDescent="0.2">
      <c r="B1775" s="9"/>
      <c r="L1775" s="9"/>
      <c r="V1775" s="9"/>
      <c r="AF1775" s="9"/>
    </row>
    <row r="1776" spans="2:32" ht="15" x14ac:dyDescent="0.2">
      <c r="B1776" s="9"/>
      <c r="L1776" s="9"/>
      <c r="V1776" s="9"/>
      <c r="AF1776" s="9"/>
    </row>
    <row r="1777" spans="2:32" ht="15" x14ac:dyDescent="0.2">
      <c r="B1777" s="9"/>
      <c r="L1777" s="9"/>
      <c r="V1777" s="9"/>
      <c r="AF1777" s="9"/>
    </row>
    <row r="1778" spans="2:32" ht="15" x14ac:dyDescent="0.2">
      <c r="B1778" s="9"/>
      <c r="L1778" s="9"/>
      <c r="V1778" s="9"/>
      <c r="AF1778" s="9"/>
    </row>
    <row r="1779" spans="2:32" ht="15" x14ac:dyDescent="0.2">
      <c r="B1779" s="9"/>
      <c r="L1779" s="9"/>
      <c r="V1779" s="9"/>
      <c r="AF1779" s="9"/>
    </row>
    <row r="1780" spans="2:32" ht="15" x14ac:dyDescent="0.2">
      <c r="B1780" s="9"/>
      <c r="L1780" s="9"/>
      <c r="V1780" s="9"/>
      <c r="AF1780" s="9"/>
    </row>
    <row r="1781" spans="2:32" ht="15" x14ac:dyDescent="0.2">
      <c r="B1781" s="9"/>
      <c r="L1781" s="9"/>
      <c r="V1781" s="9"/>
      <c r="AF1781" s="9"/>
    </row>
    <row r="1782" spans="2:32" ht="15" x14ac:dyDescent="0.2">
      <c r="B1782" s="9"/>
      <c r="L1782" s="9"/>
      <c r="V1782" s="9"/>
      <c r="AF1782" s="9"/>
    </row>
    <row r="1783" spans="2:32" ht="15" x14ac:dyDescent="0.2">
      <c r="B1783" s="9"/>
      <c r="L1783" s="9"/>
      <c r="V1783" s="9"/>
      <c r="AF1783" s="9"/>
    </row>
    <row r="1784" spans="2:32" ht="15" x14ac:dyDescent="0.2">
      <c r="B1784" s="9"/>
      <c r="L1784" s="9"/>
      <c r="V1784" s="9"/>
      <c r="AF1784" s="9"/>
    </row>
    <row r="1785" spans="2:32" ht="15" x14ac:dyDescent="0.2">
      <c r="B1785" s="9"/>
      <c r="L1785" s="9"/>
      <c r="V1785" s="9"/>
      <c r="AF1785" s="9"/>
    </row>
    <row r="1786" spans="2:32" ht="15" x14ac:dyDescent="0.2">
      <c r="B1786" s="9"/>
      <c r="L1786" s="9"/>
      <c r="V1786" s="9"/>
      <c r="AF1786" s="9"/>
    </row>
    <row r="1787" spans="2:32" ht="15" x14ac:dyDescent="0.2">
      <c r="B1787" s="9"/>
      <c r="L1787" s="9"/>
      <c r="V1787" s="9"/>
      <c r="AF1787" s="9"/>
    </row>
    <row r="1788" spans="2:32" ht="15" x14ac:dyDescent="0.2">
      <c r="B1788" s="9"/>
      <c r="L1788" s="9"/>
      <c r="V1788" s="9"/>
      <c r="AF1788" s="9"/>
    </row>
    <row r="1789" spans="2:32" ht="15" x14ac:dyDescent="0.2">
      <c r="B1789" s="9"/>
      <c r="L1789" s="9"/>
      <c r="V1789" s="9"/>
      <c r="AF1789" s="9"/>
    </row>
    <row r="1790" spans="2:32" ht="15" x14ac:dyDescent="0.2">
      <c r="B1790" s="9"/>
      <c r="L1790" s="9"/>
      <c r="V1790" s="9"/>
      <c r="AF1790" s="9"/>
    </row>
    <row r="1791" spans="2:32" ht="15" x14ac:dyDescent="0.2">
      <c r="B1791" s="9"/>
      <c r="L1791" s="9"/>
      <c r="V1791" s="9"/>
      <c r="AF1791" s="9"/>
    </row>
    <row r="1792" spans="2:32" ht="15" x14ac:dyDescent="0.2">
      <c r="B1792" s="9"/>
      <c r="L1792" s="9"/>
      <c r="V1792" s="9"/>
      <c r="AF1792" s="9"/>
    </row>
    <row r="1793" spans="2:32" ht="15" x14ac:dyDescent="0.2">
      <c r="B1793" s="9"/>
      <c r="L1793" s="9"/>
      <c r="V1793" s="9"/>
      <c r="AF1793" s="9"/>
    </row>
    <row r="1794" spans="2:32" ht="15" x14ac:dyDescent="0.2">
      <c r="B1794" s="9"/>
      <c r="L1794" s="9"/>
      <c r="V1794" s="9"/>
      <c r="AF1794" s="9"/>
    </row>
    <row r="1795" spans="2:32" ht="15" x14ac:dyDescent="0.2">
      <c r="B1795" s="9"/>
      <c r="L1795" s="9"/>
      <c r="V1795" s="9"/>
      <c r="AF1795" s="9"/>
    </row>
    <row r="1796" spans="2:32" ht="15" x14ac:dyDescent="0.2">
      <c r="B1796" s="9"/>
      <c r="L1796" s="9"/>
      <c r="V1796" s="9"/>
      <c r="AF1796" s="9"/>
    </row>
    <row r="1797" spans="2:32" ht="15" x14ac:dyDescent="0.2">
      <c r="B1797" s="9"/>
      <c r="L1797" s="9"/>
      <c r="V1797" s="9"/>
      <c r="AF1797" s="9"/>
    </row>
    <row r="1798" spans="2:32" ht="15" x14ac:dyDescent="0.2">
      <c r="B1798" s="9"/>
      <c r="L1798" s="9"/>
      <c r="V1798" s="9"/>
      <c r="AF1798" s="9"/>
    </row>
    <row r="1799" spans="2:32" ht="15" x14ac:dyDescent="0.2">
      <c r="B1799" s="9"/>
      <c r="L1799" s="9"/>
      <c r="V1799" s="9"/>
      <c r="AF1799" s="9"/>
    </row>
    <row r="1800" spans="2:32" ht="15" x14ac:dyDescent="0.2">
      <c r="B1800" s="9"/>
      <c r="L1800" s="9"/>
      <c r="V1800" s="9"/>
      <c r="AF1800" s="9"/>
    </row>
    <row r="1801" spans="2:32" ht="15" x14ac:dyDescent="0.2">
      <c r="B1801" s="9"/>
      <c r="L1801" s="9"/>
      <c r="V1801" s="9"/>
      <c r="AF1801" s="9"/>
    </row>
    <row r="1802" spans="2:32" ht="15" x14ac:dyDescent="0.2">
      <c r="B1802" s="9"/>
      <c r="L1802" s="9"/>
      <c r="V1802" s="9"/>
      <c r="AF1802" s="9"/>
    </row>
    <row r="1803" spans="2:32" ht="15" x14ac:dyDescent="0.2">
      <c r="B1803" s="9"/>
      <c r="L1803" s="9"/>
      <c r="V1803" s="9"/>
      <c r="AF1803" s="9"/>
    </row>
    <row r="1804" spans="2:32" ht="15" x14ac:dyDescent="0.2">
      <c r="B1804" s="9"/>
      <c r="L1804" s="9"/>
      <c r="V1804" s="9"/>
      <c r="AF1804" s="9"/>
    </row>
    <row r="1805" spans="2:32" ht="15" x14ac:dyDescent="0.2">
      <c r="B1805" s="9"/>
      <c r="L1805" s="9"/>
      <c r="V1805" s="9"/>
      <c r="AF1805" s="9"/>
    </row>
    <row r="1806" spans="2:32" ht="15" x14ac:dyDescent="0.2">
      <c r="B1806" s="9"/>
      <c r="L1806" s="9"/>
      <c r="V1806" s="9"/>
      <c r="AF1806" s="9"/>
    </row>
    <row r="1807" spans="2:32" ht="15" x14ac:dyDescent="0.2">
      <c r="B1807" s="9"/>
      <c r="L1807" s="9"/>
      <c r="V1807" s="9"/>
      <c r="AF1807" s="9"/>
    </row>
    <row r="1808" spans="2:32" ht="15" x14ac:dyDescent="0.2">
      <c r="B1808" s="9"/>
      <c r="L1808" s="9"/>
      <c r="V1808" s="9"/>
      <c r="AF1808" s="9"/>
    </row>
    <row r="1809" spans="2:32" ht="15" x14ac:dyDescent="0.2">
      <c r="B1809" s="9"/>
      <c r="L1809" s="9"/>
      <c r="V1809" s="9"/>
      <c r="AF1809" s="9"/>
    </row>
    <row r="1810" spans="2:32" ht="15" x14ac:dyDescent="0.2">
      <c r="B1810" s="9"/>
      <c r="L1810" s="9"/>
      <c r="V1810" s="9"/>
      <c r="AF1810" s="9"/>
    </row>
    <row r="1811" spans="2:32" ht="15" x14ac:dyDescent="0.2">
      <c r="B1811" s="9"/>
      <c r="L1811" s="9"/>
      <c r="V1811" s="9"/>
      <c r="AF1811" s="9"/>
    </row>
    <row r="1812" spans="2:32" ht="15" x14ac:dyDescent="0.2">
      <c r="B1812" s="9"/>
      <c r="L1812" s="9"/>
      <c r="V1812" s="9"/>
      <c r="AF1812" s="9"/>
    </row>
    <row r="1813" spans="2:32" ht="15" x14ac:dyDescent="0.2">
      <c r="B1813" s="9"/>
      <c r="L1813" s="9"/>
      <c r="V1813" s="9"/>
      <c r="AF1813" s="9"/>
    </row>
    <row r="1814" spans="2:32" ht="15" x14ac:dyDescent="0.2">
      <c r="B1814" s="9"/>
      <c r="L1814" s="9"/>
      <c r="V1814" s="9"/>
      <c r="AF1814" s="9"/>
    </row>
    <row r="1815" spans="2:32" ht="15" x14ac:dyDescent="0.2">
      <c r="B1815" s="9"/>
      <c r="L1815" s="9"/>
      <c r="V1815" s="9"/>
      <c r="AF1815" s="9"/>
    </row>
    <row r="1816" spans="2:32" ht="15" x14ac:dyDescent="0.2">
      <c r="B1816" s="9"/>
      <c r="L1816" s="9"/>
      <c r="V1816" s="9"/>
      <c r="AF1816" s="9"/>
    </row>
    <row r="1817" spans="2:32" ht="15" x14ac:dyDescent="0.2">
      <c r="B1817" s="9"/>
      <c r="L1817" s="9"/>
      <c r="V1817" s="9"/>
      <c r="AF1817" s="9"/>
    </row>
    <row r="1818" spans="2:32" ht="15" x14ac:dyDescent="0.2">
      <c r="B1818" s="9"/>
      <c r="L1818" s="9"/>
      <c r="V1818" s="9"/>
      <c r="AF1818" s="9"/>
    </row>
    <row r="1819" spans="2:32" ht="15" x14ac:dyDescent="0.2">
      <c r="B1819" s="9"/>
      <c r="L1819" s="9"/>
      <c r="V1819" s="9"/>
      <c r="AF1819" s="9"/>
    </row>
    <row r="1820" spans="2:32" ht="15" x14ac:dyDescent="0.2">
      <c r="B1820" s="9"/>
      <c r="L1820" s="9"/>
      <c r="V1820" s="9"/>
      <c r="AF1820" s="9"/>
    </row>
    <row r="1821" spans="2:32" ht="15" x14ac:dyDescent="0.2">
      <c r="B1821" s="9"/>
      <c r="L1821" s="9"/>
      <c r="V1821" s="9"/>
      <c r="AF1821" s="9"/>
    </row>
    <row r="1822" spans="2:32" ht="15" x14ac:dyDescent="0.2">
      <c r="B1822" s="9"/>
      <c r="L1822" s="9"/>
      <c r="V1822" s="9"/>
      <c r="AF1822" s="9"/>
    </row>
    <row r="1823" spans="2:32" ht="15" x14ac:dyDescent="0.2">
      <c r="B1823" s="9"/>
      <c r="L1823" s="9"/>
      <c r="V1823" s="9"/>
      <c r="AF1823" s="9"/>
    </row>
    <row r="1824" spans="2:32" ht="15" x14ac:dyDescent="0.2">
      <c r="B1824" s="9"/>
      <c r="L1824" s="9"/>
      <c r="V1824" s="9"/>
      <c r="AF1824" s="9"/>
    </row>
    <row r="1825" spans="2:32" ht="15" x14ac:dyDescent="0.2">
      <c r="B1825" s="9"/>
      <c r="L1825" s="9"/>
      <c r="V1825" s="9"/>
      <c r="AF1825" s="9"/>
    </row>
    <row r="1826" spans="2:32" ht="15" x14ac:dyDescent="0.2">
      <c r="B1826" s="9"/>
      <c r="L1826" s="9"/>
      <c r="V1826" s="9"/>
      <c r="AF1826" s="9"/>
    </row>
    <row r="1827" spans="2:32" ht="15" x14ac:dyDescent="0.2">
      <c r="B1827" s="9"/>
      <c r="L1827" s="9"/>
      <c r="V1827" s="9"/>
      <c r="AF1827" s="9"/>
    </row>
    <row r="1828" spans="2:32" ht="15" x14ac:dyDescent="0.2">
      <c r="B1828" s="9"/>
      <c r="L1828" s="9"/>
      <c r="V1828" s="9"/>
      <c r="AF1828" s="9"/>
    </row>
    <row r="1829" spans="2:32" ht="15" x14ac:dyDescent="0.2">
      <c r="B1829" s="9"/>
      <c r="L1829" s="9"/>
      <c r="V1829" s="9"/>
      <c r="AF1829" s="9"/>
    </row>
    <row r="1830" spans="2:32" ht="15" x14ac:dyDescent="0.2">
      <c r="B1830" s="9"/>
      <c r="L1830" s="9"/>
      <c r="V1830" s="9"/>
      <c r="AF1830" s="9"/>
    </row>
    <row r="1831" spans="2:32" ht="15" x14ac:dyDescent="0.2">
      <c r="B1831" s="9"/>
      <c r="L1831" s="9"/>
      <c r="V1831" s="9"/>
      <c r="AF1831" s="9"/>
    </row>
    <row r="1832" spans="2:32" ht="15" x14ac:dyDescent="0.2">
      <c r="B1832" s="9"/>
      <c r="L1832" s="9"/>
      <c r="V1832" s="9"/>
      <c r="AF1832" s="9"/>
    </row>
    <row r="1833" spans="2:32" ht="15" x14ac:dyDescent="0.2">
      <c r="B1833" s="9"/>
      <c r="L1833" s="9"/>
      <c r="V1833" s="9"/>
      <c r="AF1833" s="9"/>
    </row>
    <row r="1834" spans="2:32" ht="15" x14ac:dyDescent="0.2">
      <c r="B1834" s="9"/>
      <c r="L1834" s="9"/>
      <c r="V1834" s="9"/>
      <c r="AF1834" s="9"/>
    </row>
    <row r="1835" spans="2:32" ht="15" x14ac:dyDescent="0.2">
      <c r="B1835" s="9"/>
      <c r="L1835" s="9"/>
      <c r="V1835" s="9"/>
      <c r="AF1835" s="9"/>
    </row>
    <row r="1836" spans="2:32" ht="15" x14ac:dyDescent="0.2">
      <c r="B1836" s="9"/>
      <c r="L1836" s="9"/>
      <c r="V1836" s="9"/>
      <c r="AF1836" s="9"/>
    </row>
    <row r="1837" spans="2:32" ht="15" x14ac:dyDescent="0.2">
      <c r="B1837" s="9"/>
      <c r="L1837" s="9"/>
      <c r="V1837" s="9"/>
      <c r="AF1837" s="9"/>
    </row>
    <row r="1838" spans="2:32" ht="15" x14ac:dyDescent="0.2">
      <c r="B1838" s="9"/>
      <c r="L1838" s="9"/>
      <c r="V1838" s="9"/>
      <c r="AF1838" s="9"/>
    </row>
    <row r="1839" spans="2:32" ht="15" x14ac:dyDescent="0.2">
      <c r="B1839" s="9"/>
      <c r="L1839" s="9"/>
      <c r="V1839" s="9"/>
      <c r="AF1839" s="9"/>
    </row>
    <row r="1840" spans="2:32" ht="15" x14ac:dyDescent="0.2">
      <c r="B1840" s="9"/>
      <c r="L1840" s="9"/>
      <c r="V1840" s="9"/>
      <c r="AF1840" s="9"/>
    </row>
    <row r="1841" spans="2:32" ht="15" x14ac:dyDescent="0.2">
      <c r="B1841" s="9"/>
      <c r="L1841" s="9"/>
      <c r="V1841" s="9"/>
      <c r="AF1841" s="9"/>
    </row>
    <row r="1842" spans="2:32" ht="15" x14ac:dyDescent="0.2">
      <c r="B1842" s="9"/>
      <c r="L1842" s="9"/>
      <c r="V1842" s="9"/>
      <c r="AF1842" s="9"/>
    </row>
    <row r="1843" spans="2:32" ht="15" x14ac:dyDescent="0.2">
      <c r="B1843" s="9"/>
      <c r="L1843" s="9"/>
      <c r="V1843" s="9"/>
      <c r="AF1843" s="9"/>
    </row>
    <row r="1844" spans="2:32" ht="15" x14ac:dyDescent="0.2">
      <c r="B1844" s="9"/>
      <c r="L1844" s="9"/>
      <c r="V1844" s="9"/>
      <c r="AF1844" s="9"/>
    </row>
    <row r="1845" spans="2:32" ht="15" x14ac:dyDescent="0.2">
      <c r="B1845" s="9"/>
      <c r="L1845" s="9"/>
      <c r="V1845" s="9"/>
      <c r="AF1845" s="9"/>
    </row>
    <row r="1846" spans="2:32" ht="15" x14ac:dyDescent="0.2">
      <c r="B1846" s="9"/>
      <c r="L1846" s="9"/>
      <c r="V1846" s="9"/>
      <c r="AF1846" s="9"/>
    </row>
    <row r="1847" spans="2:32" ht="15" x14ac:dyDescent="0.2">
      <c r="B1847" s="9"/>
      <c r="L1847" s="9"/>
      <c r="V1847" s="9"/>
      <c r="AF1847" s="9"/>
    </row>
    <row r="1848" spans="2:32" ht="15" x14ac:dyDescent="0.2">
      <c r="B1848" s="9"/>
      <c r="L1848" s="9"/>
      <c r="V1848" s="9"/>
      <c r="AF1848" s="9"/>
    </row>
    <row r="1849" spans="2:32" ht="15" x14ac:dyDescent="0.2">
      <c r="B1849" s="9"/>
      <c r="L1849" s="9"/>
      <c r="V1849" s="9"/>
      <c r="AF1849" s="9"/>
    </row>
    <row r="1850" spans="2:32" ht="15" x14ac:dyDescent="0.2">
      <c r="B1850" s="9"/>
      <c r="L1850" s="9"/>
      <c r="V1850" s="9"/>
      <c r="AF1850" s="9"/>
    </row>
    <row r="1851" spans="2:32" ht="15" x14ac:dyDescent="0.2">
      <c r="B1851" s="9"/>
      <c r="L1851" s="9"/>
      <c r="V1851" s="9"/>
      <c r="AF1851" s="9"/>
    </row>
    <row r="1852" spans="2:32" ht="15" x14ac:dyDescent="0.2">
      <c r="B1852" s="9"/>
      <c r="L1852" s="9"/>
      <c r="V1852" s="9"/>
      <c r="AF1852" s="9"/>
    </row>
    <row r="1853" spans="2:32" ht="15" x14ac:dyDescent="0.2">
      <c r="B1853" s="9"/>
      <c r="L1853" s="9"/>
      <c r="V1853" s="9"/>
      <c r="AF1853" s="9"/>
    </row>
    <row r="1854" spans="2:32" ht="15" x14ac:dyDescent="0.2">
      <c r="B1854" s="9"/>
      <c r="L1854" s="9"/>
      <c r="V1854" s="9"/>
      <c r="AF1854" s="9"/>
    </row>
    <row r="1855" spans="2:32" ht="15" x14ac:dyDescent="0.2">
      <c r="B1855" s="9"/>
      <c r="L1855" s="9"/>
      <c r="V1855" s="9"/>
      <c r="AF1855" s="9"/>
    </row>
    <row r="1856" spans="2:32" ht="15" x14ac:dyDescent="0.2">
      <c r="B1856" s="9"/>
      <c r="L1856" s="9"/>
      <c r="V1856" s="9"/>
      <c r="AF1856" s="9"/>
    </row>
    <row r="1857" spans="2:32" ht="15" x14ac:dyDescent="0.2">
      <c r="B1857" s="9"/>
      <c r="L1857" s="9"/>
      <c r="V1857" s="9"/>
      <c r="AF1857" s="9"/>
    </row>
    <row r="1858" spans="2:32" ht="15" x14ac:dyDescent="0.2">
      <c r="B1858" s="9"/>
      <c r="L1858" s="9"/>
      <c r="V1858" s="9"/>
      <c r="AF1858" s="9"/>
    </row>
    <row r="1859" spans="2:32" ht="15" x14ac:dyDescent="0.2">
      <c r="B1859" s="9"/>
      <c r="L1859" s="9"/>
      <c r="V1859" s="9"/>
      <c r="AF1859" s="9"/>
    </row>
    <row r="1860" spans="2:32" ht="15" x14ac:dyDescent="0.2">
      <c r="B1860" s="9"/>
      <c r="L1860" s="9"/>
      <c r="V1860" s="9"/>
      <c r="AF1860" s="9"/>
    </row>
    <row r="1861" spans="2:32" ht="15" x14ac:dyDescent="0.2">
      <c r="B1861" s="9"/>
      <c r="L1861" s="9"/>
      <c r="V1861" s="9"/>
      <c r="AF1861" s="9"/>
    </row>
    <row r="1862" spans="2:32" ht="15" x14ac:dyDescent="0.2">
      <c r="B1862" s="9"/>
      <c r="L1862" s="9"/>
      <c r="V1862" s="9"/>
      <c r="AF1862" s="9"/>
    </row>
    <row r="1863" spans="2:32" ht="15" x14ac:dyDescent="0.2">
      <c r="B1863" s="9"/>
      <c r="L1863" s="9"/>
      <c r="V1863" s="9"/>
      <c r="AF1863" s="9"/>
    </row>
    <row r="1864" spans="2:32" ht="15" x14ac:dyDescent="0.2">
      <c r="B1864" s="9"/>
      <c r="L1864" s="9"/>
      <c r="V1864" s="9"/>
      <c r="AF1864" s="9"/>
    </row>
    <row r="1865" spans="2:32" ht="15" x14ac:dyDescent="0.2">
      <c r="B1865" s="9"/>
      <c r="L1865" s="9"/>
      <c r="V1865" s="9"/>
      <c r="AF1865" s="9"/>
    </row>
    <row r="1866" spans="2:32" ht="15" x14ac:dyDescent="0.2">
      <c r="B1866" s="9"/>
      <c r="L1866" s="9"/>
      <c r="V1866" s="9"/>
      <c r="AF1866" s="9"/>
    </row>
    <row r="1867" spans="2:32" ht="15" x14ac:dyDescent="0.2">
      <c r="B1867" s="9"/>
      <c r="L1867" s="9"/>
      <c r="V1867" s="9"/>
      <c r="AF1867" s="9"/>
    </row>
    <row r="1868" spans="2:32" ht="15" x14ac:dyDescent="0.2">
      <c r="B1868" s="9"/>
      <c r="L1868" s="9"/>
      <c r="V1868" s="9"/>
      <c r="AF1868" s="9"/>
    </row>
    <row r="1869" spans="2:32" ht="15" x14ac:dyDescent="0.2">
      <c r="B1869" s="9"/>
      <c r="L1869" s="9"/>
      <c r="V1869" s="9"/>
      <c r="AF1869" s="9"/>
    </row>
    <row r="1870" spans="2:32" ht="15" x14ac:dyDescent="0.2">
      <c r="B1870" s="9"/>
      <c r="L1870" s="9"/>
      <c r="V1870" s="9"/>
      <c r="AF1870" s="9"/>
    </row>
    <row r="1871" spans="2:32" ht="15" x14ac:dyDescent="0.2">
      <c r="B1871" s="9"/>
      <c r="L1871" s="9"/>
      <c r="V1871" s="9"/>
      <c r="AF1871" s="9"/>
    </row>
    <row r="1872" spans="2:32" ht="15" x14ac:dyDescent="0.2">
      <c r="B1872" s="9"/>
      <c r="L1872" s="9"/>
      <c r="V1872" s="9"/>
      <c r="AF1872" s="9"/>
    </row>
    <row r="1873" spans="2:32" ht="15" x14ac:dyDescent="0.2">
      <c r="B1873" s="9"/>
      <c r="L1873" s="9"/>
      <c r="V1873" s="9"/>
      <c r="AF1873" s="9"/>
    </row>
    <row r="1874" spans="2:32" ht="15" x14ac:dyDescent="0.2">
      <c r="B1874" s="9"/>
      <c r="L1874" s="9"/>
      <c r="V1874" s="9"/>
      <c r="AF1874" s="9"/>
    </row>
    <row r="1875" spans="2:32" ht="15" x14ac:dyDescent="0.2">
      <c r="B1875" s="9"/>
      <c r="L1875" s="9"/>
      <c r="V1875" s="9"/>
      <c r="AF1875" s="9"/>
    </row>
    <row r="1876" spans="2:32" ht="15" x14ac:dyDescent="0.2">
      <c r="B1876" s="9"/>
      <c r="L1876" s="9"/>
      <c r="V1876" s="9"/>
      <c r="AF1876" s="9"/>
    </row>
    <row r="1877" spans="2:32" ht="15" x14ac:dyDescent="0.2">
      <c r="B1877" s="9"/>
      <c r="L1877" s="9"/>
      <c r="V1877" s="9"/>
      <c r="AF1877" s="9"/>
    </row>
    <row r="1878" spans="2:32" ht="15" x14ac:dyDescent="0.2">
      <c r="B1878" s="9"/>
      <c r="L1878" s="9"/>
      <c r="V1878" s="9"/>
      <c r="AF1878" s="9"/>
    </row>
    <row r="1879" spans="2:32" ht="15" x14ac:dyDescent="0.2">
      <c r="B1879" s="9"/>
      <c r="L1879" s="9"/>
      <c r="V1879" s="9"/>
      <c r="AF1879" s="9"/>
    </row>
    <row r="1880" spans="2:32" ht="15" x14ac:dyDescent="0.2">
      <c r="B1880" s="9"/>
      <c r="L1880" s="9"/>
      <c r="V1880" s="9"/>
      <c r="AF1880" s="9"/>
    </row>
    <row r="1881" spans="2:32" ht="15" x14ac:dyDescent="0.2">
      <c r="B1881" s="9"/>
      <c r="L1881" s="9"/>
      <c r="V1881" s="9"/>
      <c r="AF1881" s="9"/>
    </row>
    <row r="1882" spans="2:32" ht="15" x14ac:dyDescent="0.2">
      <c r="B1882" s="9"/>
      <c r="L1882" s="9"/>
      <c r="V1882" s="9"/>
      <c r="AF1882" s="9"/>
    </row>
    <row r="1883" spans="2:32" ht="15" x14ac:dyDescent="0.2">
      <c r="B1883" s="9"/>
      <c r="L1883" s="9"/>
      <c r="V1883" s="9"/>
      <c r="AF1883" s="9"/>
    </row>
    <row r="1884" spans="2:32" ht="15" x14ac:dyDescent="0.2">
      <c r="B1884" s="9"/>
      <c r="L1884" s="9"/>
      <c r="V1884" s="9"/>
      <c r="AF1884" s="9"/>
    </row>
    <row r="1885" spans="2:32" ht="15" x14ac:dyDescent="0.2">
      <c r="B1885" s="9"/>
      <c r="L1885" s="9"/>
      <c r="V1885" s="9"/>
      <c r="AF1885" s="9"/>
    </row>
    <row r="1886" spans="2:32" ht="15" x14ac:dyDescent="0.2">
      <c r="B1886" s="9"/>
      <c r="L1886" s="9"/>
      <c r="V1886" s="9"/>
      <c r="AF1886" s="9"/>
    </row>
    <row r="1887" spans="2:32" ht="15" x14ac:dyDescent="0.2">
      <c r="B1887" s="9"/>
      <c r="L1887" s="9"/>
      <c r="V1887" s="9"/>
      <c r="AF1887" s="9"/>
    </row>
    <row r="1888" spans="2:32" ht="15" x14ac:dyDescent="0.2">
      <c r="B1888" s="9"/>
      <c r="L1888" s="9"/>
      <c r="V1888" s="9"/>
      <c r="AF1888" s="9"/>
    </row>
    <row r="1889" spans="2:32" ht="15" x14ac:dyDescent="0.2">
      <c r="B1889" s="9"/>
      <c r="L1889" s="9"/>
      <c r="V1889" s="9"/>
      <c r="AF1889" s="9"/>
    </row>
    <row r="1890" spans="2:32" ht="15" x14ac:dyDescent="0.2">
      <c r="B1890" s="9"/>
      <c r="L1890" s="9"/>
      <c r="V1890" s="9"/>
      <c r="AF1890" s="9"/>
    </row>
    <row r="1891" spans="2:32" ht="15" x14ac:dyDescent="0.2">
      <c r="B1891" s="9"/>
      <c r="L1891" s="9"/>
      <c r="V1891" s="9"/>
      <c r="AF1891" s="9"/>
    </row>
    <row r="1892" spans="2:32" ht="15" x14ac:dyDescent="0.2">
      <c r="B1892" s="9"/>
      <c r="L1892" s="9"/>
      <c r="V1892" s="9"/>
      <c r="AF1892" s="9"/>
    </row>
    <row r="1893" spans="2:32" ht="15" x14ac:dyDescent="0.2">
      <c r="B1893" s="9"/>
      <c r="L1893" s="9"/>
      <c r="V1893" s="9"/>
      <c r="AF1893" s="9"/>
    </row>
    <row r="1894" spans="2:32" ht="15" x14ac:dyDescent="0.2">
      <c r="B1894" s="9"/>
      <c r="L1894" s="9"/>
      <c r="V1894" s="9"/>
      <c r="AF1894" s="9"/>
    </row>
    <row r="1895" spans="2:32" ht="15" x14ac:dyDescent="0.2">
      <c r="B1895" s="9"/>
      <c r="L1895" s="9"/>
      <c r="V1895" s="9"/>
      <c r="AF1895" s="9"/>
    </row>
    <row r="1896" spans="2:32" ht="15" x14ac:dyDescent="0.2">
      <c r="B1896" s="9"/>
      <c r="L1896" s="9"/>
      <c r="V1896" s="9"/>
      <c r="AF1896" s="9"/>
    </row>
    <row r="1897" spans="2:32" ht="15" x14ac:dyDescent="0.2">
      <c r="B1897" s="9"/>
      <c r="L1897" s="9"/>
      <c r="V1897" s="9"/>
      <c r="AF1897" s="9"/>
    </row>
    <row r="1898" spans="2:32" ht="15" x14ac:dyDescent="0.2">
      <c r="B1898" s="9"/>
      <c r="L1898" s="9"/>
      <c r="V1898" s="9"/>
      <c r="AF1898" s="9"/>
    </row>
    <row r="1899" spans="2:32" ht="15" x14ac:dyDescent="0.2">
      <c r="B1899" s="9"/>
      <c r="L1899" s="9"/>
      <c r="V1899" s="9"/>
      <c r="AF1899" s="9"/>
    </row>
    <row r="1900" spans="2:32" ht="15" x14ac:dyDescent="0.2">
      <c r="B1900" s="9"/>
      <c r="L1900" s="9"/>
      <c r="V1900" s="9"/>
      <c r="AF1900" s="9"/>
    </row>
    <row r="1901" spans="2:32" ht="15" x14ac:dyDescent="0.2">
      <c r="B1901" s="9"/>
      <c r="L1901" s="9"/>
      <c r="V1901" s="9"/>
      <c r="AF1901" s="9"/>
    </row>
    <row r="1902" spans="2:32" ht="15" x14ac:dyDescent="0.2">
      <c r="B1902" s="9"/>
      <c r="L1902" s="9"/>
      <c r="V1902" s="9"/>
      <c r="AF1902" s="9"/>
    </row>
    <row r="1903" spans="2:32" ht="15" x14ac:dyDescent="0.2">
      <c r="B1903" s="9"/>
      <c r="L1903" s="9"/>
      <c r="V1903" s="9"/>
      <c r="AF1903" s="9"/>
    </row>
    <row r="1904" spans="2:32" ht="15" x14ac:dyDescent="0.2">
      <c r="B1904" s="9"/>
      <c r="L1904" s="9"/>
      <c r="V1904" s="9"/>
      <c r="AF1904" s="9"/>
    </row>
    <row r="1905" spans="2:32" ht="15" x14ac:dyDescent="0.2">
      <c r="B1905" s="9"/>
      <c r="L1905" s="9"/>
      <c r="V1905" s="9"/>
      <c r="AF1905" s="9"/>
    </row>
    <row r="1906" spans="2:32" ht="15" x14ac:dyDescent="0.2">
      <c r="B1906" s="9"/>
      <c r="L1906" s="9"/>
      <c r="V1906" s="9"/>
      <c r="AF1906" s="9"/>
    </row>
    <row r="1907" spans="2:32" ht="15" x14ac:dyDescent="0.2">
      <c r="B1907" s="9"/>
      <c r="L1907" s="9"/>
      <c r="V1907" s="9"/>
      <c r="AF1907" s="9"/>
    </row>
    <row r="1908" spans="2:32" ht="15" x14ac:dyDescent="0.2">
      <c r="B1908" s="9"/>
      <c r="L1908" s="9"/>
      <c r="V1908" s="9"/>
      <c r="AF1908" s="9"/>
    </row>
    <row r="1909" spans="2:32" ht="15" x14ac:dyDescent="0.2">
      <c r="B1909" s="9"/>
      <c r="L1909" s="9"/>
      <c r="V1909" s="9"/>
      <c r="AF1909" s="9"/>
    </row>
    <row r="1910" spans="2:32" ht="15" x14ac:dyDescent="0.2">
      <c r="B1910" s="9"/>
      <c r="L1910" s="9"/>
      <c r="V1910" s="9"/>
      <c r="AF1910" s="9"/>
    </row>
    <row r="1911" spans="2:32" ht="15" x14ac:dyDescent="0.2">
      <c r="B1911" s="9"/>
      <c r="L1911" s="9"/>
      <c r="V1911" s="9"/>
      <c r="AF1911" s="9"/>
    </row>
    <row r="1912" spans="2:32" ht="15" x14ac:dyDescent="0.2">
      <c r="B1912" s="9"/>
      <c r="L1912" s="9"/>
      <c r="V1912" s="9"/>
      <c r="AF1912" s="9"/>
    </row>
    <row r="1913" spans="2:32" ht="15" x14ac:dyDescent="0.2">
      <c r="B1913" s="9"/>
      <c r="L1913" s="9"/>
      <c r="V1913" s="9"/>
      <c r="AF1913" s="9"/>
    </row>
    <row r="1914" spans="2:32" ht="15" x14ac:dyDescent="0.2">
      <c r="B1914" s="9"/>
      <c r="L1914" s="9"/>
      <c r="V1914" s="9"/>
      <c r="AF1914" s="9"/>
    </row>
    <row r="1915" spans="2:32" ht="15" x14ac:dyDescent="0.2">
      <c r="B1915" s="9"/>
      <c r="L1915" s="9"/>
      <c r="V1915" s="9"/>
      <c r="AF1915" s="9"/>
    </row>
    <row r="1916" spans="2:32" ht="15" x14ac:dyDescent="0.2">
      <c r="B1916" s="9"/>
      <c r="L1916" s="9"/>
      <c r="V1916" s="9"/>
      <c r="AF1916" s="9"/>
    </row>
    <row r="1917" spans="2:32" ht="15" x14ac:dyDescent="0.2">
      <c r="B1917" s="9"/>
      <c r="L1917" s="9"/>
      <c r="V1917" s="9"/>
      <c r="AF1917" s="9"/>
    </row>
    <row r="1918" spans="2:32" ht="15" x14ac:dyDescent="0.2">
      <c r="B1918" s="9"/>
      <c r="L1918" s="9"/>
      <c r="V1918" s="9"/>
      <c r="AF1918" s="9"/>
    </row>
    <row r="1919" spans="2:32" ht="15" x14ac:dyDescent="0.2">
      <c r="B1919" s="9"/>
      <c r="L1919" s="9"/>
      <c r="V1919" s="9"/>
      <c r="AF1919" s="9"/>
    </row>
    <row r="1920" spans="2:32" ht="15" x14ac:dyDescent="0.2">
      <c r="B1920" s="9"/>
      <c r="L1920" s="9"/>
      <c r="V1920" s="9"/>
      <c r="AF1920" s="9"/>
    </row>
    <row r="1921" spans="2:32" ht="15" x14ac:dyDescent="0.2">
      <c r="B1921" s="9"/>
      <c r="L1921" s="9"/>
      <c r="V1921" s="9"/>
      <c r="AF1921" s="9"/>
    </row>
    <row r="1922" spans="2:32" ht="15" x14ac:dyDescent="0.2">
      <c r="B1922" s="9"/>
      <c r="L1922" s="9"/>
      <c r="V1922" s="9"/>
      <c r="AF1922" s="9"/>
    </row>
    <row r="1923" spans="2:32" ht="15" x14ac:dyDescent="0.2">
      <c r="B1923" s="9"/>
      <c r="L1923" s="9"/>
      <c r="V1923" s="9"/>
      <c r="AF1923" s="9"/>
    </row>
    <row r="1924" spans="2:32" ht="15" x14ac:dyDescent="0.2">
      <c r="B1924" s="9"/>
      <c r="L1924" s="9"/>
      <c r="V1924" s="9"/>
      <c r="AF1924" s="9"/>
    </row>
    <row r="1925" spans="2:32" ht="15" x14ac:dyDescent="0.2">
      <c r="B1925" s="9"/>
      <c r="L1925" s="9"/>
      <c r="V1925" s="9"/>
      <c r="AF1925" s="9"/>
    </row>
    <row r="1926" spans="2:32" ht="15" x14ac:dyDescent="0.2">
      <c r="B1926" s="9"/>
      <c r="L1926" s="9"/>
      <c r="V1926" s="9"/>
      <c r="AF1926" s="9"/>
    </row>
    <row r="1927" spans="2:32" ht="15" x14ac:dyDescent="0.2">
      <c r="B1927" s="9"/>
      <c r="L1927" s="9"/>
      <c r="V1927" s="9"/>
      <c r="AF1927" s="9"/>
    </row>
    <row r="1928" spans="2:32" ht="15" x14ac:dyDescent="0.2">
      <c r="B1928" s="9"/>
      <c r="L1928" s="9"/>
      <c r="V1928" s="9"/>
      <c r="AF1928" s="9"/>
    </row>
    <row r="1929" spans="2:32" ht="15" x14ac:dyDescent="0.2">
      <c r="B1929" s="9"/>
      <c r="L1929" s="9"/>
      <c r="V1929" s="9"/>
      <c r="AF1929" s="9"/>
    </row>
    <row r="1930" spans="2:32" ht="15" x14ac:dyDescent="0.2">
      <c r="B1930" s="9"/>
      <c r="L1930" s="9"/>
      <c r="V1930" s="9"/>
      <c r="AF1930" s="9"/>
    </row>
    <row r="1931" spans="2:32" ht="15" x14ac:dyDescent="0.2">
      <c r="B1931" s="9"/>
      <c r="L1931" s="9"/>
      <c r="V1931" s="9"/>
      <c r="AF1931" s="9"/>
    </row>
    <row r="1932" spans="2:32" ht="15" x14ac:dyDescent="0.2">
      <c r="B1932" s="9"/>
      <c r="L1932" s="9"/>
      <c r="V1932" s="9"/>
      <c r="AF1932" s="9"/>
    </row>
    <row r="1933" spans="2:32" ht="15" x14ac:dyDescent="0.2">
      <c r="B1933" s="9"/>
      <c r="L1933" s="9"/>
      <c r="V1933" s="9"/>
      <c r="AF1933" s="9"/>
    </row>
    <row r="1934" spans="2:32" ht="15" x14ac:dyDescent="0.2">
      <c r="B1934" s="9"/>
      <c r="L1934" s="9"/>
      <c r="V1934" s="9"/>
      <c r="AF1934" s="9"/>
    </row>
    <row r="1935" spans="2:32" ht="15" x14ac:dyDescent="0.2">
      <c r="B1935" s="9"/>
      <c r="L1935" s="9"/>
      <c r="V1935" s="9"/>
      <c r="AF1935" s="9"/>
    </row>
    <row r="1936" spans="2:32" ht="15" x14ac:dyDescent="0.2">
      <c r="B1936" s="9"/>
      <c r="L1936" s="9"/>
      <c r="V1936" s="9"/>
      <c r="AF1936" s="9"/>
    </row>
    <row r="1937" spans="2:32" ht="15" x14ac:dyDescent="0.2">
      <c r="B1937" s="9"/>
      <c r="L1937" s="9"/>
      <c r="V1937" s="9"/>
      <c r="AF1937" s="9"/>
    </row>
    <row r="1938" spans="2:32" ht="15" x14ac:dyDescent="0.2">
      <c r="B1938" s="9"/>
      <c r="L1938" s="9"/>
      <c r="V1938" s="9"/>
      <c r="AF1938" s="9"/>
    </row>
    <row r="1939" spans="2:32" ht="15" x14ac:dyDescent="0.2">
      <c r="B1939" s="9"/>
      <c r="L1939" s="9"/>
      <c r="V1939" s="9"/>
      <c r="AF1939" s="9"/>
    </row>
    <row r="1940" spans="2:32" ht="15" x14ac:dyDescent="0.2">
      <c r="B1940" s="9"/>
      <c r="L1940" s="9"/>
      <c r="V1940" s="9"/>
      <c r="AF1940" s="9"/>
    </row>
    <row r="1941" spans="2:32" ht="15" x14ac:dyDescent="0.2">
      <c r="B1941" s="9"/>
      <c r="L1941" s="9"/>
      <c r="V1941" s="9"/>
      <c r="AF1941" s="9"/>
    </row>
    <row r="1942" spans="2:32" ht="15" x14ac:dyDescent="0.2">
      <c r="B1942" s="9"/>
      <c r="L1942" s="9"/>
      <c r="V1942" s="9"/>
      <c r="AF1942" s="9"/>
    </row>
    <row r="1943" spans="2:32" ht="15" x14ac:dyDescent="0.2">
      <c r="B1943" s="9"/>
      <c r="L1943" s="9"/>
      <c r="V1943" s="9"/>
      <c r="AF1943" s="9"/>
    </row>
    <row r="1944" spans="2:32" ht="15" x14ac:dyDescent="0.2">
      <c r="B1944" s="9"/>
      <c r="L1944" s="9"/>
      <c r="V1944" s="9"/>
      <c r="AF1944" s="9"/>
    </row>
    <row r="1945" spans="2:32" ht="15" x14ac:dyDescent="0.2">
      <c r="B1945" s="9"/>
      <c r="L1945" s="9"/>
      <c r="V1945" s="9"/>
      <c r="AF1945" s="9"/>
    </row>
    <row r="1946" spans="2:32" ht="15" x14ac:dyDescent="0.2">
      <c r="B1946" s="9"/>
      <c r="L1946" s="9"/>
      <c r="V1946" s="9"/>
      <c r="AF1946" s="9"/>
    </row>
    <row r="1947" spans="2:32" ht="15" x14ac:dyDescent="0.2">
      <c r="B1947" s="9"/>
      <c r="L1947" s="9"/>
      <c r="V1947" s="9"/>
      <c r="AF1947" s="9"/>
    </row>
    <row r="1948" spans="2:32" ht="15" x14ac:dyDescent="0.2">
      <c r="B1948" s="9"/>
      <c r="L1948" s="9"/>
      <c r="V1948" s="9"/>
      <c r="AF1948" s="9"/>
    </row>
    <row r="1949" spans="2:32" ht="15" x14ac:dyDescent="0.2">
      <c r="B1949" s="9"/>
      <c r="L1949" s="9"/>
      <c r="V1949" s="9"/>
      <c r="AF1949" s="9"/>
    </row>
    <row r="1950" spans="2:32" ht="15" x14ac:dyDescent="0.2">
      <c r="B1950" s="9"/>
      <c r="L1950" s="9"/>
      <c r="V1950" s="9"/>
      <c r="AF1950" s="9"/>
    </row>
    <row r="1951" spans="2:32" ht="15" x14ac:dyDescent="0.2">
      <c r="B1951" s="9"/>
      <c r="L1951" s="9"/>
      <c r="V1951" s="9"/>
      <c r="AF1951" s="9"/>
    </row>
    <row r="1952" spans="2:32" ht="15" x14ac:dyDescent="0.2">
      <c r="B1952" s="9"/>
      <c r="L1952" s="9"/>
      <c r="V1952" s="9"/>
      <c r="AF1952" s="9"/>
    </row>
    <row r="1953" spans="2:32" ht="15" x14ac:dyDescent="0.2">
      <c r="B1953" s="9"/>
      <c r="L1953" s="9"/>
      <c r="V1953" s="9"/>
      <c r="AF1953" s="9"/>
    </row>
    <row r="1954" spans="2:32" ht="15" x14ac:dyDescent="0.2">
      <c r="B1954" s="9"/>
      <c r="L1954" s="9"/>
      <c r="V1954" s="9"/>
      <c r="AF1954" s="9"/>
    </row>
    <row r="1955" spans="2:32" ht="15" x14ac:dyDescent="0.2">
      <c r="B1955" s="9"/>
      <c r="L1955" s="9"/>
      <c r="V1955" s="9"/>
      <c r="AF1955" s="9"/>
    </row>
    <row r="1956" spans="2:32" ht="15" x14ac:dyDescent="0.2">
      <c r="B1956" s="9"/>
      <c r="L1956" s="9"/>
      <c r="V1956" s="9"/>
      <c r="AF1956" s="9"/>
    </row>
    <row r="1957" spans="2:32" ht="15" x14ac:dyDescent="0.2">
      <c r="B1957" s="9"/>
      <c r="L1957" s="9"/>
      <c r="V1957" s="9"/>
      <c r="AF1957" s="9"/>
    </row>
    <row r="1958" spans="2:32" ht="15" x14ac:dyDescent="0.2">
      <c r="B1958" s="9"/>
      <c r="L1958" s="9"/>
      <c r="V1958" s="9"/>
      <c r="AF1958" s="9"/>
    </row>
    <row r="1959" spans="2:32" ht="15" x14ac:dyDescent="0.2">
      <c r="B1959" s="9"/>
      <c r="L1959" s="9"/>
      <c r="V1959" s="9"/>
      <c r="AF1959" s="9"/>
    </row>
    <row r="1960" spans="2:32" ht="15" x14ac:dyDescent="0.2">
      <c r="B1960" s="9"/>
      <c r="L1960" s="9"/>
      <c r="V1960" s="9"/>
      <c r="AF1960" s="9"/>
    </row>
    <row r="1961" spans="2:32" ht="15" x14ac:dyDescent="0.2">
      <c r="B1961" s="9"/>
      <c r="L1961" s="9"/>
      <c r="V1961" s="9"/>
      <c r="AF1961" s="9"/>
    </row>
    <row r="1962" spans="2:32" ht="15" x14ac:dyDescent="0.2">
      <c r="B1962" s="9"/>
      <c r="L1962" s="9"/>
      <c r="V1962" s="9"/>
      <c r="AF1962" s="9"/>
    </row>
    <row r="1963" spans="2:32" ht="15" x14ac:dyDescent="0.2">
      <c r="B1963" s="9"/>
      <c r="L1963" s="9"/>
      <c r="V1963" s="9"/>
      <c r="AF1963" s="9"/>
    </row>
    <row r="1964" spans="2:32" ht="15" x14ac:dyDescent="0.2">
      <c r="B1964" s="9"/>
      <c r="L1964" s="9"/>
      <c r="V1964" s="9"/>
      <c r="AF1964" s="9"/>
    </row>
    <row r="1965" spans="2:32" ht="15" x14ac:dyDescent="0.2">
      <c r="B1965" s="9"/>
      <c r="L1965" s="9"/>
      <c r="V1965" s="9"/>
      <c r="AF1965" s="9"/>
    </row>
    <row r="1966" spans="2:32" ht="15" x14ac:dyDescent="0.2">
      <c r="B1966" s="9"/>
      <c r="L1966" s="9"/>
      <c r="V1966" s="9"/>
      <c r="AF1966" s="9"/>
    </row>
    <row r="1967" spans="2:32" ht="15" x14ac:dyDescent="0.2">
      <c r="B1967" s="9"/>
      <c r="L1967" s="9"/>
      <c r="V1967" s="9"/>
      <c r="AF1967" s="9"/>
    </row>
    <row r="1968" spans="2:32" ht="15" x14ac:dyDescent="0.2">
      <c r="B1968" s="9"/>
      <c r="L1968" s="9"/>
      <c r="V1968" s="9"/>
      <c r="AF1968" s="9"/>
    </row>
    <row r="1969" spans="2:32" ht="15" x14ac:dyDescent="0.2">
      <c r="B1969" s="9"/>
      <c r="L1969" s="9"/>
      <c r="V1969" s="9"/>
      <c r="AF1969" s="9"/>
    </row>
    <row r="1970" spans="2:32" ht="15" x14ac:dyDescent="0.2">
      <c r="B1970" s="9"/>
      <c r="L1970" s="9"/>
      <c r="V1970" s="9"/>
      <c r="AF1970" s="9"/>
    </row>
    <row r="1971" spans="2:32" ht="15" x14ac:dyDescent="0.2">
      <c r="B1971" s="9"/>
      <c r="L1971" s="9"/>
      <c r="V1971" s="9"/>
      <c r="AF1971" s="9"/>
    </row>
    <row r="1972" spans="2:32" ht="15" x14ac:dyDescent="0.2">
      <c r="B1972" s="9"/>
      <c r="L1972" s="9"/>
      <c r="V1972" s="9"/>
      <c r="AF1972" s="9"/>
    </row>
    <row r="1973" spans="2:32" ht="15" x14ac:dyDescent="0.2">
      <c r="B1973" s="9"/>
      <c r="L1973" s="9"/>
      <c r="V1973" s="9"/>
      <c r="AF1973" s="9"/>
    </row>
    <row r="1974" spans="2:32" ht="15" x14ac:dyDescent="0.2">
      <c r="B1974" s="9"/>
      <c r="L1974" s="9"/>
      <c r="V1974" s="9"/>
      <c r="AF1974" s="9"/>
    </row>
    <row r="1975" spans="2:32" ht="15" x14ac:dyDescent="0.2">
      <c r="B1975" s="9"/>
      <c r="L1975" s="9"/>
      <c r="V1975" s="9"/>
      <c r="AF1975" s="9"/>
    </row>
    <row r="1976" spans="2:32" ht="15" x14ac:dyDescent="0.2">
      <c r="B1976" s="9"/>
      <c r="L1976" s="9"/>
      <c r="V1976" s="9"/>
      <c r="AF1976" s="9"/>
    </row>
    <row r="1977" spans="2:32" ht="15" x14ac:dyDescent="0.2">
      <c r="B1977" s="9"/>
      <c r="L1977" s="9"/>
      <c r="V1977" s="9"/>
      <c r="AF1977" s="9"/>
    </row>
    <row r="1978" spans="2:32" ht="15" x14ac:dyDescent="0.2">
      <c r="B1978" s="9"/>
      <c r="L1978" s="9"/>
      <c r="V1978" s="9"/>
      <c r="AF1978" s="9"/>
    </row>
    <row r="1979" spans="2:32" ht="15" x14ac:dyDescent="0.2">
      <c r="B1979" s="9"/>
      <c r="L1979" s="9"/>
      <c r="V1979" s="9"/>
      <c r="AF1979" s="9"/>
    </row>
    <row r="1980" spans="2:32" ht="15" x14ac:dyDescent="0.2">
      <c r="B1980" s="9"/>
      <c r="L1980" s="9"/>
      <c r="V1980" s="9"/>
      <c r="AF1980" s="9"/>
    </row>
    <row r="1981" spans="2:32" ht="15" x14ac:dyDescent="0.2">
      <c r="B1981" s="9"/>
      <c r="L1981" s="9"/>
      <c r="V1981" s="9"/>
      <c r="AF1981" s="9"/>
    </row>
    <row r="1982" spans="2:32" ht="15" x14ac:dyDescent="0.2">
      <c r="B1982" s="9"/>
      <c r="L1982" s="9"/>
      <c r="V1982" s="9"/>
      <c r="AF1982" s="9"/>
    </row>
    <row r="1983" spans="2:32" ht="15" x14ac:dyDescent="0.2">
      <c r="B1983" s="9"/>
      <c r="L1983" s="9"/>
      <c r="V1983" s="9"/>
      <c r="AF1983" s="9"/>
    </row>
    <row r="1984" spans="2:32" ht="15" x14ac:dyDescent="0.2">
      <c r="B1984" s="9"/>
      <c r="L1984" s="9"/>
      <c r="V1984" s="9"/>
      <c r="AF1984" s="9"/>
    </row>
    <row r="1985" spans="2:32" ht="15" x14ac:dyDescent="0.2">
      <c r="B1985" s="9"/>
      <c r="L1985" s="9"/>
      <c r="V1985" s="9"/>
      <c r="AF1985" s="9"/>
    </row>
    <row r="1986" spans="2:32" ht="15" x14ac:dyDescent="0.2">
      <c r="B1986" s="9"/>
      <c r="L1986" s="9"/>
      <c r="V1986" s="9"/>
      <c r="AF1986" s="9"/>
    </row>
    <row r="1987" spans="2:32" ht="15" x14ac:dyDescent="0.2">
      <c r="B1987" s="9"/>
      <c r="L1987" s="9"/>
      <c r="V1987" s="9"/>
      <c r="AF1987" s="9"/>
    </row>
    <row r="1988" spans="2:32" ht="15" x14ac:dyDescent="0.2">
      <c r="B1988" s="9"/>
      <c r="L1988" s="9"/>
      <c r="V1988" s="9"/>
      <c r="AF1988" s="9"/>
    </row>
    <row r="1989" spans="2:32" ht="15" x14ac:dyDescent="0.2">
      <c r="B1989" s="9"/>
      <c r="L1989" s="9"/>
      <c r="V1989" s="9"/>
      <c r="AF1989" s="9"/>
    </row>
    <row r="1990" spans="2:32" ht="15" x14ac:dyDescent="0.2">
      <c r="B1990" s="9"/>
      <c r="L1990" s="9"/>
      <c r="V1990" s="9"/>
      <c r="AF1990" s="9"/>
    </row>
    <row r="1991" spans="2:32" ht="15" x14ac:dyDescent="0.2">
      <c r="B1991" s="9"/>
      <c r="L1991" s="9"/>
      <c r="V1991" s="9"/>
      <c r="AF1991" s="9"/>
    </row>
    <row r="1992" spans="2:32" ht="15" x14ac:dyDescent="0.2">
      <c r="B1992" s="9"/>
      <c r="L1992" s="9"/>
      <c r="V1992" s="9"/>
      <c r="AF1992" s="9"/>
    </row>
    <row r="1993" spans="2:32" ht="15" x14ac:dyDescent="0.2">
      <c r="B1993" s="9"/>
      <c r="L1993" s="9"/>
      <c r="V1993" s="9"/>
      <c r="AF1993" s="9"/>
    </row>
    <row r="1994" spans="2:32" ht="15" x14ac:dyDescent="0.2">
      <c r="B1994" s="9"/>
      <c r="L1994" s="9"/>
      <c r="V1994" s="9"/>
      <c r="AF1994" s="9"/>
    </row>
    <row r="1995" spans="2:32" ht="15" x14ac:dyDescent="0.2">
      <c r="B1995" s="9"/>
      <c r="L1995" s="9"/>
      <c r="V1995" s="9"/>
      <c r="AF1995" s="9"/>
    </row>
    <row r="1996" spans="2:32" ht="15" x14ac:dyDescent="0.2">
      <c r="B1996" s="9"/>
      <c r="L1996" s="9"/>
      <c r="V1996" s="9"/>
      <c r="AF1996" s="9"/>
    </row>
    <row r="1997" spans="2:32" ht="15" x14ac:dyDescent="0.2">
      <c r="B1997" s="9"/>
      <c r="L1997" s="9"/>
      <c r="V1997" s="9"/>
      <c r="AF1997" s="9"/>
    </row>
    <row r="1998" spans="2:32" ht="15" x14ac:dyDescent="0.2">
      <c r="B1998" s="9"/>
      <c r="L1998" s="9"/>
      <c r="V1998" s="9"/>
      <c r="AF1998" s="9"/>
    </row>
    <row r="1999" spans="2:32" ht="15" x14ac:dyDescent="0.2">
      <c r="B1999" s="9"/>
      <c r="L1999" s="9"/>
      <c r="V1999" s="9"/>
      <c r="AF1999" s="9"/>
    </row>
    <row r="2000" spans="2:32" ht="15" x14ac:dyDescent="0.2">
      <c r="B2000" s="9"/>
      <c r="L2000" s="9"/>
      <c r="V2000" s="9"/>
      <c r="AF2000" s="9"/>
    </row>
    <row r="2001" spans="2:32" ht="15" x14ac:dyDescent="0.2">
      <c r="B2001" s="9"/>
      <c r="L2001" s="9"/>
      <c r="V2001" s="9"/>
      <c r="AF2001" s="9"/>
    </row>
    <row r="2002" spans="2:32" ht="15" x14ac:dyDescent="0.2">
      <c r="B2002" s="9"/>
      <c r="L2002" s="9"/>
      <c r="V2002" s="9"/>
      <c r="AF2002" s="9"/>
    </row>
    <row r="2003" spans="2:32" ht="15" x14ac:dyDescent="0.2">
      <c r="B2003" s="9"/>
      <c r="L2003" s="9"/>
      <c r="V2003" s="9"/>
      <c r="AF2003" s="9"/>
    </row>
    <row r="2004" spans="2:32" ht="15" x14ac:dyDescent="0.2">
      <c r="B2004" s="9"/>
      <c r="L2004" s="9"/>
      <c r="V2004" s="9"/>
      <c r="AF2004" s="9"/>
    </row>
    <row r="2005" spans="2:32" ht="15" x14ac:dyDescent="0.2">
      <c r="B2005" s="9"/>
      <c r="L2005" s="9"/>
      <c r="V2005" s="9"/>
      <c r="AF2005" s="9"/>
    </row>
    <row r="2006" spans="2:32" ht="15" x14ac:dyDescent="0.2">
      <c r="B2006" s="9"/>
      <c r="L2006" s="9"/>
      <c r="V2006" s="9"/>
      <c r="AF2006" s="9"/>
    </row>
    <row r="2007" spans="2:32" ht="15" x14ac:dyDescent="0.2">
      <c r="B2007" s="9"/>
      <c r="L2007" s="9"/>
      <c r="V2007" s="9"/>
      <c r="AF2007" s="9"/>
    </row>
    <row r="2008" spans="2:32" ht="15" x14ac:dyDescent="0.2">
      <c r="B2008" s="9"/>
      <c r="L2008" s="9"/>
      <c r="V2008" s="9"/>
      <c r="AF2008" s="9"/>
    </row>
    <row r="2009" spans="2:32" ht="15" x14ac:dyDescent="0.2">
      <c r="B2009" s="9"/>
      <c r="L2009" s="9"/>
      <c r="V2009" s="9"/>
      <c r="AF2009" s="9"/>
    </row>
    <row r="2010" spans="2:32" ht="15" x14ac:dyDescent="0.2">
      <c r="B2010" s="9"/>
      <c r="L2010" s="9"/>
      <c r="V2010" s="9"/>
      <c r="AF2010" s="9"/>
    </row>
    <row r="2011" spans="2:32" ht="15" x14ac:dyDescent="0.2">
      <c r="B2011" s="9"/>
      <c r="L2011" s="9"/>
      <c r="V2011" s="9"/>
      <c r="AF2011" s="9"/>
    </row>
    <row r="2012" spans="2:32" ht="15" x14ac:dyDescent="0.2">
      <c r="B2012" s="9"/>
      <c r="L2012" s="9"/>
      <c r="V2012" s="9"/>
      <c r="AF2012" s="9"/>
    </row>
    <row r="2013" spans="2:32" ht="15" x14ac:dyDescent="0.2">
      <c r="B2013" s="9"/>
      <c r="L2013" s="9"/>
      <c r="V2013" s="9"/>
      <c r="AF2013" s="9"/>
    </row>
    <row r="2014" spans="2:32" ht="15" x14ac:dyDescent="0.2">
      <c r="B2014" s="9"/>
      <c r="L2014" s="9"/>
      <c r="V2014" s="9"/>
      <c r="AF2014" s="9"/>
    </row>
    <row r="2015" spans="2:32" ht="15" x14ac:dyDescent="0.2">
      <c r="B2015" s="9"/>
      <c r="L2015" s="9"/>
      <c r="V2015" s="9"/>
      <c r="AF2015" s="9"/>
    </row>
    <row r="2016" spans="2:32" ht="15" x14ac:dyDescent="0.2">
      <c r="B2016" s="9"/>
      <c r="L2016" s="9"/>
      <c r="V2016" s="9"/>
      <c r="AF2016" s="9"/>
    </row>
    <row r="2017" spans="2:32" ht="15" x14ac:dyDescent="0.2">
      <c r="B2017" s="9"/>
      <c r="L2017" s="9"/>
      <c r="V2017" s="9"/>
      <c r="AF2017" s="9"/>
    </row>
    <row r="2018" spans="2:32" ht="15" x14ac:dyDescent="0.2">
      <c r="B2018" s="9"/>
      <c r="L2018" s="9"/>
      <c r="V2018" s="9"/>
      <c r="AF2018" s="9"/>
    </row>
    <row r="2019" spans="2:32" ht="15" x14ac:dyDescent="0.2">
      <c r="B2019" s="9"/>
      <c r="L2019" s="9"/>
      <c r="V2019" s="9"/>
      <c r="AF2019" s="9"/>
    </row>
    <row r="2020" spans="2:32" ht="15" x14ac:dyDescent="0.2">
      <c r="B2020" s="9"/>
      <c r="L2020" s="9"/>
      <c r="V2020" s="9"/>
      <c r="AF2020" s="9"/>
    </row>
    <row r="2021" spans="2:32" ht="15" x14ac:dyDescent="0.2">
      <c r="B2021" s="9"/>
      <c r="L2021" s="9"/>
      <c r="V2021" s="9"/>
      <c r="AF2021" s="9"/>
    </row>
    <row r="2022" spans="2:32" ht="15" x14ac:dyDescent="0.2">
      <c r="B2022" s="9"/>
      <c r="L2022" s="9"/>
      <c r="V2022" s="9"/>
      <c r="AF2022" s="9"/>
    </row>
    <row r="2023" spans="2:32" ht="15" x14ac:dyDescent="0.2">
      <c r="B2023" s="9"/>
      <c r="L2023" s="9"/>
      <c r="V2023" s="9"/>
      <c r="AF2023" s="9"/>
    </row>
    <row r="2024" spans="2:32" ht="15" x14ac:dyDescent="0.2">
      <c r="B2024" s="9"/>
      <c r="L2024" s="9"/>
      <c r="V2024" s="9"/>
      <c r="AF2024" s="9"/>
    </row>
    <row r="2025" spans="2:32" ht="15" x14ac:dyDescent="0.2">
      <c r="B2025" s="9"/>
      <c r="L2025" s="9"/>
      <c r="V2025" s="9"/>
      <c r="AF2025" s="9"/>
    </row>
    <row r="2026" spans="2:32" ht="15" x14ac:dyDescent="0.2">
      <c r="B2026" s="9"/>
      <c r="L2026" s="9"/>
      <c r="V2026" s="9"/>
      <c r="AF2026" s="9"/>
    </row>
    <row r="2027" spans="2:32" ht="15" x14ac:dyDescent="0.2">
      <c r="B2027" s="9"/>
      <c r="L2027" s="9"/>
      <c r="V2027" s="9"/>
      <c r="AF2027" s="9"/>
    </row>
    <row r="2028" spans="2:32" ht="15" x14ac:dyDescent="0.2">
      <c r="B2028" s="9"/>
      <c r="L2028" s="9"/>
      <c r="V2028" s="9"/>
      <c r="AF2028" s="9"/>
    </row>
    <row r="2029" spans="2:32" ht="15" x14ac:dyDescent="0.2">
      <c r="B2029" s="9"/>
      <c r="L2029" s="9"/>
      <c r="V2029" s="9"/>
      <c r="AF2029" s="9"/>
    </row>
    <row r="2030" spans="2:32" ht="15" x14ac:dyDescent="0.2">
      <c r="B2030" s="9"/>
      <c r="L2030" s="9"/>
      <c r="V2030" s="9"/>
      <c r="AF2030" s="9"/>
    </row>
    <row r="2031" spans="2:32" ht="15" x14ac:dyDescent="0.2">
      <c r="B2031" s="9"/>
      <c r="L2031" s="9"/>
      <c r="V2031" s="9"/>
      <c r="AF2031" s="9"/>
    </row>
    <row r="2032" spans="2:32" ht="15" x14ac:dyDescent="0.2">
      <c r="B2032" s="9"/>
      <c r="L2032" s="9"/>
      <c r="V2032" s="9"/>
      <c r="AF2032" s="9"/>
    </row>
    <row r="2033" spans="2:32" ht="15" x14ac:dyDescent="0.2">
      <c r="B2033" s="9"/>
      <c r="L2033" s="9"/>
      <c r="V2033" s="9"/>
      <c r="AF2033" s="9"/>
    </row>
    <row r="2034" spans="2:32" ht="15" x14ac:dyDescent="0.2">
      <c r="B2034" s="9"/>
      <c r="L2034" s="9"/>
      <c r="V2034" s="9"/>
      <c r="AF2034" s="9"/>
    </row>
    <row r="2035" spans="2:32" ht="15" x14ac:dyDescent="0.2">
      <c r="B2035" s="9"/>
      <c r="L2035" s="9"/>
      <c r="V2035" s="9"/>
      <c r="AF2035" s="9"/>
    </row>
    <row r="2036" spans="2:32" ht="15" x14ac:dyDescent="0.2">
      <c r="B2036" s="9"/>
      <c r="L2036" s="9"/>
      <c r="V2036" s="9"/>
      <c r="AF2036" s="9"/>
    </row>
    <row r="2037" spans="2:32" ht="15" x14ac:dyDescent="0.2">
      <c r="B2037" s="9"/>
      <c r="L2037" s="9"/>
      <c r="V2037" s="9"/>
      <c r="AF2037" s="9"/>
    </row>
    <row r="2038" spans="2:32" ht="15" x14ac:dyDescent="0.2">
      <c r="B2038" s="9"/>
      <c r="L2038" s="9"/>
      <c r="V2038" s="9"/>
      <c r="AF2038" s="9"/>
    </row>
    <row r="2039" spans="2:32" ht="15" x14ac:dyDescent="0.2">
      <c r="B2039" s="9"/>
      <c r="L2039" s="9"/>
      <c r="V2039" s="9"/>
      <c r="AF2039" s="9"/>
    </row>
    <row r="2040" spans="2:32" ht="15" x14ac:dyDescent="0.2">
      <c r="B2040" s="9"/>
      <c r="L2040" s="9"/>
      <c r="V2040" s="9"/>
      <c r="AF2040" s="9"/>
    </row>
    <row r="2041" spans="2:32" ht="15" x14ac:dyDescent="0.2">
      <c r="B2041" s="9"/>
      <c r="L2041" s="9"/>
      <c r="V2041" s="9"/>
      <c r="AF2041" s="9"/>
    </row>
    <row r="2042" spans="2:32" ht="15" x14ac:dyDescent="0.2">
      <c r="B2042" s="9"/>
      <c r="L2042" s="9"/>
      <c r="V2042" s="9"/>
      <c r="AF2042" s="9"/>
    </row>
    <row r="2043" spans="2:32" ht="15" x14ac:dyDescent="0.2">
      <c r="B2043" s="9"/>
      <c r="L2043" s="9"/>
      <c r="V2043" s="9"/>
      <c r="AF2043" s="9"/>
    </row>
    <row r="2044" spans="2:32" ht="15" x14ac:dyDescent="0.2">
      <c r="B2044" s="9"/>
      <c r="L2044" s="9"/>
      <c r="V2044" s="9"/>
      <c r="AF2044" s="9"/>
    </row>
    <row r="2045" spans="2:32" ht="15" x14ac:dyDescent="0.2">
      <c r="B2045" s="9"/>
      <c r="L2045" s="9"/>
      <c r="V2045" s="9"/>
      <c r="AF2045" s="9"/>
    </row>
    <row r="2046" spans="2:32" ht="15" x14ac:dyDescent="0.2">
      <c r="B2046" s="9"/>
      <c r="L2046" s="9"/>
      <c r="V2046" s="9"/>
      <c r="AF2046" s="9"/>
    </row>
    <row r="2047" spans="2:32" ht="15" x14ac:dyDescent="0.2">
      <c r="B2047" s="9"/>
      <c r="L2047" s="9"/>
      <c r="V2047" s="9"/>
      <c r="AF2047" s="9"/>
    </row>
    <row r="2048" spans="2:32" ht="15" x14ac:dyDescent="0.2">
      <c r="B2048" s="9"/>
      <c r="L2048" s="9"/>
      <c r="V2048" s="9"/>
      <c r="AF2048" s="9"/>
    </row>
    <row r="2049" spans="2:32" ht="15" x14ac:dyDescent="0.2">
      <c r="B2049" s="9"/>
      <c r="L2049" s="9"/>
      <c r="V2049" s="9"/>
      <c r="AF2049" s="9"/>
    </row>
    <row r="2050" spans="2:32" ht="15" x14ac:dyDescent="0.2">
      <c r="B2050" s="9"/>
      <c r="L2050" s="9"/>
      <c r="V2050" s="9"/>
      <c r="AF2050" s="9"/>
    </row>
    <row r="2051" spans="2:32" ht="15" x14ac:dyDescent="0.2">
      <c r="B2051" s="9"/>
      <c r="L2051" s="9"/>
      <c r="V2051" s="9"/>
      <c r="AF2051" s="9"/>
    </row>
    <row r="2052" spans="2:32" ht="15" x14ac:dyDescent="0.2">
      <c r="B2052" s="9"/>
      <c r="L2052" s="9"/>
      <c r="V2052" s="9"/>
      <c r="AF2052" s="9"/>
    </row>
    <row r="2053" spans="2:32" ht="15" x14ac:dyDescent="0.2">
      <c r="B2053" s="9"/>
      <c r="L2053" s="9"/>
      <c r="V2053" s="9"/>
      <c r="AF2053" s="9"/>
    </row>
    <row r="2054" spans="2:32" ht="15" x14ac:dyDescent="0.2">
      <c r="B2054" s="9"/>
      <c r="L2054" s="9"/>
      <c r="V2054" s="9"/>
      <c r="AF2054" s="9"/>
    </row>
    <row r="2055" spans="2:32" ht="15" x14ac:dyDescent="0.2">
      <c r="B2055" s="9"/>
      <c r="L2055" s="9"/>
      <c r="V2055" s="9"/>
      <c r="AF2055" s="9"/>
    </row>
    <row r="2056" spans="2:32" ht="15" x14ac:dyDescent="0.2">
      <c r="B2056" s="9"/>
      <c r="L2056" s="9"/>
      <c r="V2056" s="9"/>
      <c r="AF2056" s="9"/>
    </row>
    <row r="2057" spans="2:32" ht="15" x14ac:dyDescent="0.2">
      <c r="B2057" s="9"/>
      <c r="L2057" s="9"/>
      <c r="V2057" s="9"/>
      <c r="AF2057" s="9"/>
    </row>
    <row r="2058" spans="2:32" ht="15" x14ac:dyDescent="0.2">
      <c r="B2058" s="9"/>
      <c r="L2058" s="9"/>
      <c r="V2058" s="9"/>
      <c r="AF2058" s="9"/>
    </row>
    <row r="2059" spans="2:32" ht="15" x14ac:dyDescent="0.2">
      <c r="B2059" s="9"/>
      <c r="L2059" s="9"/>
      <c r="V2059" s="9"/>
      <c r="AF2059" s="9"/>
    </row>
    <row r="2060" spans="2:32" ht="15" x14ac:dyDescent="0.2">
      <c r="B2060" s="9"/>
      <c r="L2060" s="9"/>
      <c r="V2060" s="9"/>
      <c r="AF2060" s="9"/>
    </row>
    <row r="2061" spans="2:32" ht="15" x14ac:dyDescent="0.2">
      <c r="B2061" s="9"/>
      <c r="L2061" s="9"/>
      <c r="V2061" s="9"/>
      <c r="AF2061" s="9"/>
    </row>
    <row r="2062" spans="2:32" ht="15" x14ac:dyDescent="0.2">
      <c r="B2062" s="9"/>
      <c r="L2062" s="9"/>
      <c r="V2062" s="9"/>
      <c r="AF2062" s="9"/>
    </row>
    <row r="2063" spans="2:32" ht="15" x14ac:dyDescent="0.2">
      <c r="B2063" s="9"/>
      <c r="L2063" s="9"/>
      <c r="V2063" s="9"/>
      <c r="AF2063" s="9"/>
    </row>
    <row r="2064" spans="2:32" ht="15" x14ac:dyDescent="0.2">
      <c r="B2064" s="9"/>
      <c r="L2064" s="9"/>
      <c r="V2064" s="9"/>
      <c r="AF2064" s="9"/>
    </row>
    <row r="2065" spans="2:32" ht="15" x14ac:dyDescent="0.2">
      <c r="B2065" s="9"/>
      <c r="L2065" s="9"/>
      <c r="V2065" s="9"/>
      <c r="AF2065" s="9"/>
    </row>
    <row r="2066" spans="2:32" ht="15" x14ac:dyDescent="0.2">
      <c r="B2066" s="9"/>
      <c r="L2066" s="9"/>
      <c r="V2066" s="9"/>
      <c r="AF2066" s="9"/>
    </row>
    <row r="2067" spans="2:32" ht="15" x14ac:dyDescent="0.2">
      <c r="B2067" s="9"/>
      <c r="L2067" s="9"/>
      <c r="V2067" s="9"/>
      <c r="AF2067" s="9"/>
    </row>
    <row r="2068" spans="2:32" ht="15" x14ac:dyDescent="0.2">
      <c r="B2068" s="9"/>
      <c r="L2068" s="9"/>
      <c r="V2068" s="9"/>
      <c r="AF2068" s="9"/>
    </row>
    <row r="2069" spans="2:32" ht="15" x14ac:dyDescent="0.2">
      <c r="B2069" s="9"/>
      <c r="L2069" s="9"/>
      <c r="V2069" s="9"/>
      <c r="AF2069" s="9"/>
    </row>
    <row r="2070" spans="2:32" ht="15" x14ac:dyDescent="0.2">
      <c r="B2070" s="9"/>
      <c r="L2070" s="9"/>
      <c r="V2070" s="9"/>
      <c r="AF2070" s="9"/>
    </row>
    <row r="2071" spans="2:32" ht="15" x14ac:dyDescent="0.2">
      <c r="B2071" s="9"/>
      <c r="L2071" s="9"/>
      <c r="V2071" s="9"/>
      <c r="AF2071" s="9"/>
    </row>
    <row r="2072" spans="2:32" ht="15" x14ac:dyDescent="0.2">
      <c r="B2072" s="9"/>
      <c r="L2072" s="9"/>
      <c r="V2072" s="9"/>
      <c r="AF2072" s="9"/>
    </row>
    <row r="2073" spans="2:32" ht="15" x14ac:dyDescent="0.2">
      <c r="B2073" s="9"/>
      <c r="L2073" s="9"/>
      <c r="V2073" s="9"/>
      <c r="AF2073" s="9"/>
    </row>
    <row r="2074" spans="2:32" ht="15" x14ac:dyDescent="0.2">
      <c r="B2074" s="9"/>
      <c r="L2074" s="9"/>
      <c r="V2074" s="9"/>
      <c r="AF2074" s="9"/>
    </row>
    <row r="2075" spans="2:32" ht="15" x14ac:dyDescent="0.2">
      <c r="B2075" s="9"/>
      <c r="L2075" s="9"/>
      <c r="V2075" s="9"/>
      <c r="AF2075" s="9"/>
    </row>
    <row r="2076" spans="2:32" ht="15" x14ac:dyDescent="0.2">
      <c r="B2076" s="9"/>
      <c r="L2076" s="9"/>
      <c r="V2076" s="9"/>
      <c r="AF2076" s="9"/>
    </row>
    <row r="2077" spans="2:32" ht="15" x14ac:dyDescent="0.2">
      <c r="B2077" s="9"/>
      <c r="L2077" s="9"/>
      <c r="V2077" s="9"/>
      <c r="AF2077" s="9"/>
    </row>
    <row r="2078" spans="2:32" ht="15" x14ac:dyDescent="0.2">
      <c r="B2078" s="9"/>
      <c r="L2078" s="9"/>
      <c r="V2078" s="9"/>
      <c r="AF2078" s="9"/>
    </row>
    <row r="2079" spans="2:32" ht="15" x14ac:dyDescent="0.2">
      <c r="B2079" s="9"/>
      <c r="L2079" s="9"/>
      <c r="V2079" s="9"/>
      <c r="AF2079" s="9"/>
    </row>
    <row r="2080" spans="2:32" ht="15" x14ac:dyDescent="0.2">
      <c r="B2080" s="9"/>
      <c r="L2080" s="9"/>
      <c r="V2080" s="9"/>
      <c r="AF2080" s="9"/>
    </row>
    <row r="2081" spans="2:32" ht="15" x14ac:dyDescent="0.2">
      <c r="B2081" s="9"/>
      <c r="L2081" s="9"/>
      <c r="V2081" s="9"/>
      <c r="AF2081" s="9"/>
    </row>
    <row r="2082" spans="2:32" ht="15" x14ac:dyDescent="0.2">
      <c r="B2082" s="9"/>
      <c r="L2082" s="9"/>
      <c r="V2082" s="9"/>
      <c r="AF2082" s="9"/>
    </row>
    <row r="2083" spans="2:32" ht="15" x14ac:dyDescent="0.2">
      <c r="B2083" s="9"/>
      <c r="L2083" s="9"/>
      <c r="V2083" s="9"/>
      <c r="AF2083" s="9"/>
    </row>
    <row r="2084" spans="2:32" ht="15" x14ac:dyDescent="0.2">
      <c r="B2084" s="9"/>
      <c r="L2084" s="9"/>
      <c r="V2084" s="9"/>
      <c r="AF2084" s="9"/>
    </row>
    <row r="2085" spans="2:32" ht="15" x14ac:dyDescent="0.2">
      <c r="B2085" s="9"/>
      <c r="L2085" s="9"/>
      <c r="V2085" s="9"/>
      <c r="AF2085" s="9"/>
    </row>
    <row r="2086" spans="2:32" ht="15" x14ac:dyDescent="0.2">
      <c r="B2086" s="9"/>
      <c r="L2086" s="9"/>
      <c r="V2086" s="9"/>
      <c r="AF2086" s="9"/>
    </row>
    <row r="2087" spans="2:32" ht="15" x14ac:dyDescent="0.2">
      <c r="B2087" s="9"/>
      <c r="L2087" s="9"/>
      <c r="V2087" s="9"/>
      <c r="AF2087" s="9"/>
    </row>
    <row r="2088" spans="2:32" ht="15" x14ac:dyDescent="0.2">
      <c r="B2088" s="9"/>
      <c r="L2088" s="9"/>
      <c r="V2088" s="9"/>
      <c r="AF2088" s="9"/>
    </row>
    <row r="2089" spans="2:32" ht="15" x14ac:dyDescent="0.2">
      <c r="B2089" s="9"/>
      <c r="L2089" s="9"/>
      <c r="V2089" s="9"/>
      <c r="AF2089" s="9"/>
    </row>
    <row r="2090" spans="2:32" ht="15" x14ac:dyDescent="0.2">
      <c r="B2090" s="9"/>
      <c r="L2090" s="9"/>
      <c r="V2090" s="9"/>
      <c r="AF2090" s="9"/>
    </row>
    <row r="2091" spans="2:32" ht="15" x14ac:dyDescent="0.2">
      <c r="B2091" s="9"/>
      <c r="L2091" s="9"/>
      <c r="V2091" s="9"/>
      <c r="AF2091" s="9"/>
    </row>
    <row r="2092" spans="2:32" ht="15" x14ac:dyDescent="0.2">
      <c r="B2092" s="9"/>
      <c r="L2092" s="9"/>
      <c r="V2092" s="9"/>
      <c r="AF2092" s="9"/>
    </row>
    <row r="2093" spans="2:32" ht="15" x14ac:dyDescent="0.2">
      <c r="B2093" s="9"/>
      <c r="L2093" s="9"/>
      <c r="V2093" s="9"/>
      <c r="AF2093" s="9"/>
    </row>
    <row r="2094" spans="2:32" ht="15" x14ac:dyDescent="0.2">
      <c r="B2094" s="9"/>
      <c r="L2094" s="9"/>
      <c r="V2094" s="9"/>
      <c r="AF2094" s="9"/>
    </row>
    <row r="2095" spans="2:32" ht="15" x14ac:dyDescent="0.2">
      <c r="B2095" s="9"/>
      <c r="L2095" s="9"/>
      <c r="V2095" s="9"/>
      <c r="AF2095" s="9"/>
    </row>
    <row r="2096" spans="2:32" ht="15" x14ac:dyDescent="0.2">
      <c r="B2096" s="9"/>
      <c r="L2096" s="9"/>
      <c r="V2096" s="9"/>
      <c r="AF2096" s="9"/>
    </row>
    <row r="2097" spans="2:32" ht="15" x14ac:dyDescent="0.2">
      <c r="B2097" s="9"/>
      <c r="L2097" s="9"/>
      <c r="V2097" s="9"/>
      <c r="AF2097" s="9"/>
    </row>
    <row r="2098" spans="2:32" ht="15" x14ac:dyDescent="0.2">
      <c r="B2098" s="9"/>
      <c r="L2098" s="9"/>
      <c r="V2098" s="9"/>
      <c r="AF2098" s="9"/>
    </row>
    <row r="2099" spans="2:32" ht="15" x14ac:dyDescent="0.2">
      <c r="B2099" s="9"/>
      <c r="L2099" s="9"/>
      <c r="V2099" s="9"/>
      <c r="AF2099" s="9"/>
    </row>
    <row r="2100" spans="2:32" ht="15" x14ac:dyDescent="0.2">
      <c r="B2100" s="9"/>
      <c r="L2100" s="9"/>
      <c r="V2100" s="9"/>
      <c r="AF2100" s="9"/>
    </row>
    <row r="2101" spans="2:32" ht="15" x14ac:dyDescent="0.2">
      <c r="B2101" s="9"/>
      <c r="L2101" s="9"/>
      <c r="V2101" s="9"/>
      <c r="AF2101" s="9"/>
    </row>
    <row r="2102" spans="2:32" ht="15" x14ac:dyDescent="0.2">
      <c r="B2102" s="9"/>
      <c r="L2102" s="9"/>
      <c r="V2102" s="9"/>
      <c r="AF2102" s="9"/>
    </row>
    <row r="2103" spans="2:32" ht="15" x14ac:dyDescent="0.2">
      <c r="B2103" s="9"/>
      <c r="L2103" s="9"/>
      <c r="V2103" s="9"/>
      <c r="AF2103" s="9"/>
    </row>
    <row r="2104" spans="2:32" ht="15" x14ac:dyDescent="0.2">
      <c r="B2104" s="9"/>
      <c r="L2104" s="9"/>
      <c r="V2104" s="9"/>
      <c r="AF2104" s="9"/>
    </row>
    <row r="2105" spans="2:32" ht="15" x14ac:dyDescent="0.2">
      <c r="B2105" s="9"/>
      <c r="L2105" s="9"/>
      <c r="V2105" s="9"/>
      <c r="AF2105" s="9"/>
    </row>
    <row r="2106" spans="2:32" ht="15" x14ac:dyDescent="0.2">
      <c r="B2106" s="9"/>
      <c r="L2106" s="9"/>
      <c r="V2106" s="9"/>
      <c r="AF2106" s="9"/>
    </row>
    <row r="2107" spans="2:32" ht="15" x14ac:dyDescent="0.2">
      <c r="B2107" s="9"/>
      <c r="L2107" s="9"/>
      <c r="V2107" s="9"/>
      <c r="AF2107" s="9"/>
    </row>
    <row r="2108" spans="2:32" ht="15" x14ac:dyDescent="0.2">
      <c r="B2108" s="9"/>
      <c r="L2108" s="9"/>
      <c r="V2108" s="9"/>
      <c r="AF2108" s="9"/>
    </row>
    <row r="2109" spans="2:32" ht="15" x14ac:dyDescent="0.2">
      <c r="B2109" s="9"/>
      <c r="L2109" s="9"/>
      <c r="V2109" s="9"/>
      <c r="AF2109" s="9"/>
    </row>
    <row r="2110" spans="2:32" ht="15" x14ac:dyDescent="0.2">
      <c r="B2110" s="9"/>
      <c r="L2110" s="9"/>
      <c r="V2110" s="9"/>
      <c r="AF2110" s="9"/>
    </row>
    <row r="2111" spans="2:32" ht="15" x14ac:dyDescent="0.2">
      <c r="B2111" s="9"/>
      <c r="L2111" s="9"/>
      <c r="V2111" s="9"/>
      <c r="AF2111" s="9"/>
    </row>
    <row r="2112" spans="2:32" ht="15" x14ac:dyDescent="0.2">
      <c r="B2112" s="9"/>
      <c r="L2112" s="9"/>
      <c r="V2112" s="9"/>
      <c r="AF2112" s="9"/>
    </row>
    <row r="2113" spans="2:32" ht="15" x14ac:dyDescent="0.2">
      <c r="B2113" s="9"/>
      <c r="L2113" s="9"/>
      <c r="V2113" s="9"/>
      <c r="AF2113" s="9"/>
    </row>
    <row r="2114" spans="2:32" ht="15" x14ac:dyDescent="0.2">
      <c r="B2114" s="9"/>
      <c r="L2114" s="9"/>
      <c r="V2114" s="9"/>
      <c r="AF2114" s="9"/>
    </row>
    <row r="2115" spans="2:32" ht="15" x14ac:dyDescent="0.2">
      <c r="B2115" s="9"/>
      <c r="L2115" s="9"/>
      <c r="V2115" s="9"/>
      <c r="AF2115" s="9"/>
    </row>
    <row r="2116" spans="2:32" ht="15" x14ac:dyDescent="0.2">
      <c r="B2116" s="9"/>
      <c r="L2116" s="9"/>
      <c r="V2116" s="9"/>
      <c r="AF2116" s="9"/>
    </row>
    <row r="2117" spans="2:32" ht="15" x14ac:dyDescent="0.2">
      <c r="B2117" s="9"/>
      <c r="L2117" s="9"/>
      <c r="V2117" s="9"/>
      <c r="AF2117" s="9"/>
    </row>
    <row r="2118" spans="2:32" ht="15" x14ac:dyDescent="0.2">
      <c r="B2118" s="9"/>
      <c r="L2118" s="9"/>
      <c r="V2118" s="9"/>
      <c r="AF2118" s="9"/>
    </row>
    <row r="2119" spans="2:32" ht="15" x14ac:dyDescent="0.2">
      <c r="B2119" s="9"/>
      <c r="L2119" s="9"/>
      <c r="V2119" s="9"/>
      <c r="AF2119" s="9"/>
    </row>
    <row r="2120" spans="2:32" ht="15" x14ac:dyDescent="0.2">
      <c r="B2120" s="9"/>
      <c r="L2120" s="9"/>
      <c r="V2120" s="9"/>
      <c r="AF2120" s="9"/>
    </row>
    <row r="2121" spans="2:32" ht="15" x14ac:dyDescent="0.2">
      <c r="B2121" s="9"/>
      <c r="L2121" s="9"/>
      <c r="V2121" s="9"/>
      <c r="AF2121" s="9"/>
    </row>
    <row r="2122" spans="2:32" ht="15" x14ac:dyDescent="0.2">
      <c r="B2122" s="9"/>
      <c r="L2122" s="9"/>
      <c r="V2122" s="9"/>
      <c r="AF2122" s="9"/>
    </row>
    <row r="2123" spans="2:32" ht="15" x14ac:dyDescent="0.2">
      <c r="B2123" s="9"/>
      <c r="L2123" s="9"/>
      <c r="V2123" s="9"/>
      <c r="AF2123" s="9"/>
    </row>
    <row r="2124" spans="2:32" ht="15" x14ac:dyDescent="0.2">
      <c r="B2124" s="9"/>
      <c r="L2124" s="9"/>
      <c r="V2124" s="9"/>
      <c r="AF2124" s="9"/>
    </row>
    <row r="2125" spans="2:32" ht="15" x14ac:dyDescent="0.2">
      <c r="B2125" s="9"/>
      <c r="L2125" s="9"/>
      <c r="V2125" s="9"/>
      <c r="AF2125" s="9"/>
    </row>
    <row r="2126" spans="2:32" ht="15" x14ac:dyDescent="0.2">
      <c r="B2126" s="9"/>
      <c r="L2126" s="9"/>
      <c r="V2126" s="9"/>
      <c r="AF2126" s="9"/>
    </row>
    <row r="2127" spans="2:32" ht="15" x14ac:dyDescent="0.2">
      <c r="B2127" s="9"/>
      <c r="L2127" s="9"/>
      <c r="V2127" s="9"/>
      <c r="AF2127" s="9"/>
    </row>
    <row r="2128" spans="2:32" ht="15" x14ac:dyDescent="0.2">
      <c r="B2128" s="9"/>
      <c r="L2128" s="9"/>
      <c r="V2128" s="9"/>
      <c r="AF2128" s="9"/>
    </row>
    <row r="2129" spans="2:32" ht="15" x14ac:dyDescent="0.2">
      <c r="B2129" s="9"/>
      <c r="L2129" s="9"/>
      <c r="V2129" s="9"/>
      <c r="AF2129" s="9"/>
    </row>
    <row r="2130" spans="2:32" ht="15" x14ac:dyDescent="0.2">
      <c r="B2130" s="9"/>
      <c r="L2130" s="9"/>
      <c r="V2130" s="9"/>
      <c r="AF2130" s="9"/>
    </row>
    <row r="2131" spans="2:32" ht="15" x14ac:dyDescent="0.2">
      <c r="B2131" s="9"/>
      <c r="L2131" s="9"/>
      <c r="V2131" s="9"/>
      <c r="AF2131" s="9"/>
    </row>
    <row r="2132" spans="2:32" ht="15" x14ac:dyDescent="0.2">
      <c r="B2132" s="9"/>
      <c r="L2132" s="9"/>
      <c r="V2132" s="9"/>
      <c r="AF2132" s="9"/>
    </row>
    <row r="2133" spans="2:32" ht="15" x14ac:dyDescent="0.2">
      <c r="B2133" s="9"/>
      <c r="L2133" s="9"/>
      <c r="V2133" s="9"/>
      <c r="AF2133" s="9"/>
    </row>
    <row r="2134" spans="2:32" ht="15" x14ac:dyDescent="0.2">
      <c r="B2134" s="9"/>
      <c r="L2134" s="9"/>
      <c r="V2134" s="9"/>
      <c r="AF2134" s="9"/>
    </row>
    <row r="2135" spans="2:32" ht="15" x14ac:dyDescent="0.2">
      <c r="B2135" s="9"/>
      <c r="L2135" s="9"/>
      <c r="V2135" s="9"/>
      <c r="AF2135" s="9"/>
    </row>
    <row r="2136" spans="2:32" ht="15" x14ac:dyDescent="0.2">
      <c r="B2136" s="9"/>
      <c r="L2136" s="9"/>
      <c r="V2136" s="9"/>
      <c r="AF2136" s="9"/>
    </row>
    <row r="2137" spans="2:32" ht="15" x14ac:dyDescent="0.2">
      <c r="B2137" s="9"/>
      <c r="L2137" s="9"/>
      <c r="V2137" s="9"/>
      <c r="AF2137" s="9"/>
    </row>
    <row r="2138" spans="2:32" ht="15" x14ac:dyDescent="0.2">
      <c r="B2138" s="9"/>
      <c r="L2138" s="9"/>
      <c r="V2138" s="9"/>
      <c r="AF2138" s="9"/>
    </row>
    <row r="2139" spans="2:32" ht="15" x14ac:dyDescent="0.2">
      <c r="B2139" s="9"/>
      <c r="L2139" s="9"/>
      <c r="V2139" s="9"/>
      <c r="AF2139" s="9"/>
    </row>
    <row r="2140" spans="2:32" ht="15" x14ac:dyDescent="0.2">
      <c r="B2140" s="9"/>
      <c r="L2140" s="9"/>
      <c r="V2140" s="9"/>
      <c r="AF2140" s="9"/>
    </row>
    <row r="2141" spans="2:32" ht="15" x14ac:dyDescent="0.2">
      <c r="B2141" s="9"/>
      <c r="L2141" s="9"/>
      <c r="V2141" s="9"/>
      <c r="AF2141" s="9"/>
    </row>
    <row r="2142" spans="2:32" ht="15" x14ac:dyDescent="0.2">
      <c r="B2142" s="9"/>
      <c r="L2142" s="9"/>
      <c r="V2142" s="9"/>
      <c r="AF2142" s="9"/>
    </row>
    <row r="2143" spans="2:32" ht="15" x14ac:dyDescent="0.2">
      <c r="B2143" s="9"/>
      <c r="L2143" s="9"/>
      <c r="V2143" s="9"/>
      <c r="AF2143" s="9"/>
    </row>
    <row r="2144" spans="2:32" ht="15" x14ac:dyDescent="0.2">
      <c r="B2144" s="9"/>
      <c r="L2144" s="9"/>
      <c r="V2144" s="9"/>
      <c r="AF2144" s="9"/>
    </row>
    <row r="2145" spans="2:32" ht="15" x14ac:dyDescent="0.2">
      <c r="B2145" s="9"/>
      <c r="L2145" s="9"/>
      <c r="V2145" s="9"/>
      <c r="AF2145" s="9"/>
    </row>
    <row r="2146" spans="2:32" ht="15" x14ac:dyDescent="0.2">
      <c r="B2146" s="9"/>
      <c r="L2146" s="9"/>
      <c r="V2146" s="9"/>
      <c r="AF2146" s="9"/>
    </row>
    <row r="2147" spans="2:32" ht="15" x14ac:dyDescent="0.2">
      <c r="B2147" s="9"/>
      <c r="L2147" s="9"/>
      <c r="V2147" s="9"/>
      <c r="AF2147" s="9"/>
    </row>
    <row r="2148" spans="2:32" ht="15" x14ac:dyDescent="0.2">
      <c r="B2148" s="9"/>
      <c r="L2148" s="9"/>
      <c r="V2148" s="9"/>
      <c r="AF2148" s="9"/>
    </row>
    <row r="2149" spans="2:32" ht="15" x14ac:dyDescent="0.2">
      <c r="B2149" s="9"/>
      <c r="L2149" s="9"/>
      <c r="V2149" s="9"/>
      <c r="AF2149" s="9"/>
    </row>
    <row r="2150" spans="2:32" ht="15" x14ac:dyDescent="0.2">
      <c r="B2150" s="9"/>
      <c r="L2150" s="9"/>
      <c r="V2150" s="9"/>
      <c r="AF2150" s="9"/>
    </row>
    <row r="2151" spans="2:32" ht="15" x14ac:dyDescent="0.2">
      <c r="B2151" s="9"/>
      <c r="L2151" s="9"/>
      <c r="V2151" s="9"/>
      <c r="AF2151" s="9"/>
    </row>
    <row r="2152" spans="2:32" ht="15" x14ac:dyDescent="0.2">
      <c r="B2152" s="9"/>
      <c r="L2152" s="9"/>
      <c r="V2152" s="9"/>
      <c r="AF2152" s="9"/>
    </row>
    <row r="2153" spans="2:32" ht="15" x14ac:dyDescent="0.2">
      <c r="B2153" s="9"/>
      <c r="L2153" s="9"/>
      <c r="V2153" s="9"/>
      <c r="AF2153" s="9"/>
    </row>
    <row r="2154" spans="2:32" ht="15" x14ac:dyDescent="0.2">
      <c r="B2154" s="9"/>
      <c r="L2154" s="9"/>
      <c r="V2154" s="9"/>
      <c r="AF2154" s="9"/>
    </row>
    <row r="2155" spans="2:32" ht="15" x14ac:dyDescent="0.2">
      <c r="B2155" s="9"/>
      <c r="L2155" s="9"/>
      <c r="V2155" s="9"/>
      <c r="AF2155" s="9"/>
    </row>
    <row r="2156" spans="2:32" ht="15" x14ac:dyDescent="0.2">
      <c r="B2156" s="9"/>
      <c r="L2156" s="9"/>
      <c r="V2156" s="9"/>
      <c r="AF2156" s="9"/>
    </row>
    <row r="2157" spans="2:32" ht="15" x14ac:dyDescent="0.2">
      <c r="B2157" s="9"/>
      <c r="L2157" s="9"/>
      <c r="V2157" s="9"/>
      <c r="AF2157" s="9"/>
    </row>
    <row r="2158" spans="2:32" ht="15" x14ac:dyDescent="0.2">
      <c r="B2158" s="9"/>
      <c r="L2158" s="9"/>
      <c r="V2158" s="9"/>
      <c r="AF2158" s="9"/>
    </row>
    <row r="2159" spans="2:32" ht="15" x14ac:dyDescent="0.2">
      <c r="B2159" s="9"/>
      <c r="L2159" s="9"/>
      <c r="V2159" s="9"/>
      <c r="AF2159" s="9"/>
    </row>
    <row r="2160" spans="2:32" ht="15" x14ac:dyDescent="0.2">
      <c r="B2160" s="9"/>
      <c r="L2160" s="9"/>
      <c r="V2160" s="9"/>
      <c r="AF2160" s="9"/>
    </row>
    <row r="2161" spans="2:32" ht="15" x14ac:dyDescent="0.2">
      <c r="B2161" s="9"/>
      <c r="L2161" s="9"/>
      <c r="V2161" s="9"/>
      <c r="AF2161" s="9"/>
    </row>
    <row r="2162" spans="2:32" ht="15" x14ac:dyDescent="0.2">
      <c r="B2162" s="9"/>
      <c r="L2162" s="9"/>
      <c r="V2162" s="9"/>
      <c r="AF2162" s="9"/>
    </row>
    <row r="2163" spans="2:32" ht="15" x14ac:dyDescent="0.2">
      <c r="B2163" s="9"/>
      <c r="L2163" s="9"/>
      <c r="V2163" s="9"/>
      <c r="AF2163" s="9"/>
    </row>
    <row r="2164" spans="2:32" ht="15" x14ac:dyDescent="0.2">
      <c r="B2164" s="9"/>
      <c r="L2164" s="9"/>
      <c r="V2164" s="9"/>
      <c r="AF2164" s="9"/>
    </row>
    <row r="2165" spans="2:32" ht="15" x14ac:dyDescent="0.2">
      <c r="B2165" s="9"/>
      <c r="L2165" s="9"/>
      <c r="V2165" s="9"/>
      <c r="AF2165" s="9"/>
    </row>
    <row r="2166" spans="2:32" ht="15" x14ac:dyDescent="0.2">
      <c r="B2166" s="9"/>
      <c r="L2166" s="9"/>
      <c r="V2166" s="9"/>
      <c r="AF2166" s="9"/>
    </row>
    <row r="2167" spans="2:32" ht="15" x14ac:dyDescent="0.2">
      <c r="B2167" s="9"/>
      <c r="L2167" s="9"/>
      <c r="V2167" s="9"/>
      <c r="AF2167" s="9"/>
    </row>
    <row r="2168" spans="2:32" ht="15" x14ac:dyDescent="0.2">
      <c r="B2168" s="9"/>
      <c r="L2168" s="9"/>
      <c r="V2168" s="9"/>
      <c r="AF2168" s="9"/>
    </row>
    <row r="2169" spans="2:32" ht="15" x14ac:dyDescent="0.2">
      <c r="B2169" s="9"/>
      <c r="L2169" s="9"/>
      <c r="V2169" s="9"/>
      <c r="AF2169" s="9"/>
    </row>
    <row r="2170" spans="2:32" ht="15" x14ac:dyDescent="0.2">
      <c r="B2170" s="9"/>
      <c r="L2170" s="9"/>
      <c r="V2170" s="9"/>
      <c r="AF2170" s="9"/>
    </row>
    <row r="2171" spans="2:32" ht="15" x14ac:dyDescent="0.2">
      <c r="B2171" s="9"/>
      <c r="L2171" s="9"/>
      <c r="V2171" s="9"/>
      <c r="AF2171" s="9"/>
    </row>
    <row r="2172" spans="2:32" ht="15" x14ac:dyDescent="0.2">
      <c r="B2172" s="9"/>
      <c r="L2172" s="9"/>
      <c r="V2172" s="9"/>
      <c r="AF2172" s="9"/>
    </row>
    <row r="2173" spans="2:32" ht="15" x14ac:dyDescent="0.2">
      <c r="B2173" s="9"/>
      <c r="L2173" s="9"/>
      <c r="V2173" s="9"/>
      <c r="AF2173" s="9"/>
    </row>
    <row r="2174" spans="2:32" ht="15" x14ac:dyDescent="0.2">
      <c r="B2174" s="9"/>
      <c r="L2174" s="9"/>
      <c r="V2174" s="9"/>
      <c r="AF2174" s="9"/>
    </row>
    <row r="2175" spans="2:32" ht="15" x14ac:dyDescent="0.2">
      <c r="B2175" s="9"/>
      <c r="L2175" s="9"/>
      <c r="V2175" s="9"/>
      <c r="AF2175" s="9"/>
    </row>
    <row r="2176" spans="2:32" ht="15" x14ac:dyDescent="0.2">
      <c r="B2176" s="9"/>
      <c r="L2176" s="9"/>
      <c r="V2176" s="9"/>
      <c r="AF2176" s="9"/>
    </row>
    <row r="2177" spans="2:32" ht="15" x14ac:dyDescent="0.2">
      <c r="B2177" s="9"/>
      <c r="L2177" s="9"/>
      <c r="V2177" s="9"/>
      <c r="AF2177" s="9"/>
    </row>
    <row r="2178" spans="2:32" ht="15" x14ac:dyDescent="0.2">
      <c r="B2178" s="9"/>
      <c r="L2178" s="9"/>
      <c r="V2178" s="9"/>
      <c r="AF2178" s="9"/>
    </row>
    <row r="2179" spans="2:32" ht="15" x14ac:dyDescent="0.2">
      <c r="B2179" s="9"/>
      <c r="L2179" s="9"/>
      <c r="V2179" s="9"/>
      <c r="AF2179" s="9"/>
    </row>
    <row r="2180" spans="2:32" ht="15" x14ac:dyDescent="0.2">
      <c r="B2180" s="9"/>
      <c r="L2180" s="9"/>
      <c r="V2180" s="9"/>
      <c r="AF2180" s="9"/>
    </row>
    <row r="2181" spans="2:32" ht="15" x14ac:dyDescent="0.2">
      <c r="B2181" s="9"/>
      <c r="L2181" s="9"/>
      <c r="V2181" s="9"/>
      <c r="AF2181" s="9"/>
    </row>
    <row r="2182" spans="2:32" ht="15" x14ac:dyDescent="0.2">
      <c r="B2182" s="9"/>
      <c r="L2182" s="9"/>
      <c r="V2182" s="9"/>
      <c r="AF2182" s="9"/>
    </row>
    <row r="2183" spans="2:32" ht="15" x14ac:dyDescent="0.2">
      <c r="B2183" s="9"/>
      <c r="L2183" s="9"/>
      <c r="V2183" s="9"/>
      <c r="AF2183" s="9"/>
    </row>
    <row r="2184" spans="2:32" ht="15" x14ac:dyDescent="0.2">
      <c r="B2184" s="9"/>
      <c r="L2184" s="9"/>
      <c r="V2184" s="9"/>
      <c r="AF2184" s="9"/>
    </row>
    <row r="2185" spans="2:32" ht="15" x14ac:dyDescent="0.2">
      <c r="B2185" s="9"/>
      <c r="L2185" s="9"/>
      <c r="V2185" s="9"/>
      <c r="AF2185" s="9"/>
    </row>
    <row r="2186" spans="2:32" ht="15" x14ac:dyDescent="0.2">
      <c r="B2186" s="9"/>
      <c r="L2186" s="9"/>
      <c r="V2186" s="9"/>
      <c r="AF2186" s="9"/>
    </row>
    <row r="2187" spans="2:32" ht="15" x14ac:dyDescent="0.2">
      <c r="B2187" s="9"/>
      <c r="L2187" s="9"/>
      <c r="V2187" s="9"/>
      <c r="AF2187" s="9"/>
    </row>
    <row r="2188" spans="2:32" ht="15" x14ac:dyDescent="0.2">
      <c r="B2188" s="9"/>
      <c r="L2188" s="9"/>
      <c r="V2188" s="9"/>
      <c r="AF2188" s="9"/>
    </row>
    <row r="2189" spans="2:32" ht="15" x14ac:dyDescent="0.2">
      <c r="B2189" s="9"/>
      <c r="L2189" s="9"/>
      <c r="V2189" s="9"/>
      <c r="AF2189" s="9"/>
    </row>
    <row r="2190" spans="2:32" ht="15" x14ac:dyDescent="0.2">
      <c r="B2190" s="9"/>
      <c r="L2190" s="9"/>
      <c r="V2190" s="9"/>
      <c r="AF2190" s="9"/>
    </row>
    <row r="2191" spans="2:32" ht="15" x14ac:dyDescent="0.2">
      <c r="B2191" s="9"/>
      <c r="L2191" s="9"/>
      <c r="V2191" s="9"/>
      <c r="AF2191" s="9"/>
    </row>
    <row r="2192" spans="2:32" ht="15" x14ac:dyDescent="0.2">
      <c r="B2192" s="9"/>
      <c r="L2192" s="9"/>
      <c r="V2192" s="9"/>
      <c r="AF2192" s="9"/>
    </row>
    <row r="2193" spans="2:32" ht="15" x14ac:dyDescent="0.2">
      <c r="B2193" s="9"/>
      <c r="L2193" s="9"/>
      <c r="V2193" s="9"/>
      <c r="AF2193" s="9"/>
    </row>
    <row r="2194" spans="2:32" ht="15" x14ac:dyDescent="0.2">
      <c r="B2194" s="9"/>
      <c r="L2194" s="9"/>
      <c r="V2194" s="9"/>
      <c r="AF2194" s="9"/>
    </row>
    <row r="2195" spans="2:32" ht="15" x14ac:dyDescent="0.2">
      <c r="B2195" s="9"/>
      <c r="L2195" s="9"/>
      <c r="V2195" s="9"/>
      <c r="AF2195" s="9"/>
    </row>
    <row r="2196" spans="2:32" ht="15" x14ac:dyDescent="0.2">
      <c r="B2196" s="9"/>
      <c r="L2196" s="9"/>
      <c r="V2196" s="9"/>
      <c r="AF2196" s="9"/>
    </row>
    <row r="2197" spans="2:32" ht="15" x14ac:dyDescent="0.2">
      <c r="B2197" s="9"/>
      <c r="L2197" s="9"/>
      <c r="V2197" s="9"/>
      <c r="AF2197" s="9"/>
    </row>
    <row r="2198" spans="2:32" ht="15" x14ac:dyDescent="0.2">
      <c r="B2198" s="9"/>
      <c r="L2198" s="9"/>
      <c r="V2198" s="9"/>
      <c r="AF2198" s="9"/>
    </row>
    <row r="2199" spans="2:32" ht="15" x14ac:dyDescent="0.2">
      <c r="B2199" s="9"/>
      <c r="L2199" s="9"/>
      <c r="V2199" s="9"/>
      <c r="AF2199" s="9"/>
    </row>
    <row r="2200" spans="2:32" ht="15" x14ac:dyDescent="0.2">
      <c r="B2200" s="9"/>
      <c r="L2200" s="9"/>
      <c r="V2200" s="9"/>
      <c r="AF2200" s="9"/>
    </row>
    <row r="2201" spans="2:32" ht="15" x14ac:dyDescent="0.2">
      <c r="B2201" s="9"/>
      <c r="L2201" s="9"/>
      <c r="V2201" s="9"/>
      <c r="AF2201" s="9"/>
    </row>
    <row r="2202" spans="2:32" ht="15" x14ac:dyDescent="0.2">
      <c r="B2202" s="9"/>
      <c r="L2202" s="9"/>
      <c r="V2202" s="9"/>
      <c r="AF2202" s="9"/>
    </row>
    <row r="2203" spans="2:32" ht="15" x14ac:dyDescent="0.2">
      <c r="B2203" s="9"/>
      <c r="L2203" s="9"/>
      <c r="V2203" s="9"/>
      <c r="AF2203" s="9"/>
    </row>
    <row r="2204" spans="2:32" ht="15" x14ac:dyDescent="0.2">
      <c r="B2204" s="9"/>
      <c r="L2204" s="9"/>
      <c r="V2204" s="9"/>
      <c r="AF2204" s="9"/>
    </row>
    <row r="2205" spans="2:32" ht="15" x14ac:dyDescent="0.2">
      <c r="B2205" s="9"/>
      <c r="L2205" s="9"/>
      <c r="V2205" s="9"/>
      <c r="AF2205" s="9"/>
    </row>
    <row r="2206" spans="2:32" ht="15" x14ac:dyDescent="0.2">
      <c r="B2206" s="9"/>
      <c r="L2206" s="9"/>
      <c r="V2206" s="9"/>
      <c r="AF2206" s="9"/>
    </row>
    <row r="2207" spans="2:32" ht="15" x14ac:dyDescent="0.2">
      <c r="B2207" s="9"/>
      <c r="L2207" s="9"/>
      <c r="V2207" s="9"/>
      <c r="AF2207" s="9"/>
    </row>
    <row r="2208" spans="2:32" ht="15" x14ac:dyDescent="0.2">
      <c r="B2208" s="9"/>
      <c r="L2208" s="9"/>
      <c r="V2208" s="9"/>
      <c r="AF2208" s="9"/>
    </row>
    <row r="2209" spans="2:32" ht="15" x14ac:dyDescent="0.2">
      <c r="B2209" s="9"/>
      <c r="L2209" s="9"/>
      <c r="V2209" s="9"/>
      <c r="AF2209" s="9"/>
    </row>
    <row r="2210" spans="2:32" ht="15" x14ac:dyDescent="0.2">
      <c r="B2210" s="9"/>
      <c r="L2210" s="9"/>
      <c r="V2210" s="9"/>
      <c r="AF2210" s="9"/>
    </row>
    <row r="2211" spans="2:32" ht="15" x14ac:dyDescent="0.2">
      <c r="B2211" s="9"/>
      <c r="L2211" s="9"/>
      <c r="V2211" s="9"/>
      <c r="AF2211" s="9"/>
    </row>
    <row r="2212" spans="2:32" ht="15" x14ac:dyDescent="0.2">
      <c r="B2212" s="9"/>
      <c r="L2212" s="9"/>
      <c r="V2212" s="9"/>
      <c r="AF2212" s="9"/>
    </row>
    <row r="2213" spans="2:32" ht="15" x14ac:dyDescent="0.2">
      <c r="B2213" s="9"/>
      <c r="L2213" s="9"/>
      <c r="V2213" s="9"/>
      <c r="AF2213" s="9"/>
    </row>
    <row r="2214" spans="2:32" ht="15" x14ac:dyDescent="0.2">
      <c r="B2214" s="9"/>
      <c r="L2214" s="9"/>
      <c r="V2214" s="9"/>
      <c r="AF2214" s="9"/>
    </row>
    <row r="2215" spans="2:32" ht="15" x14ac:dyDescent="0.2">
      <c r="B2215" s="9"/>
      <c r="L2215" s="9"/>
      <c r="V2215" s="9"/>
      <c r="AF2215" s="9"/>
    </row>
    <row r="2216" spans="2:32" ht="15" x14ac:dyDescent="0.2">
      <c r="B2216" s="9"/>
      <c r="L2216" s="9"/>
      <c r="V2216" s="9"/>
      <c r="AF2216" s="9"/>
    </row>
    <row r="2217" spans="2:32" ht="15" x14ac:dyDescent="0.2">
      <c r="B2217" s="9"/>
      <c r="L2217" s="9"/>
      <c r="V2217" s="9"/>
      <c r="AF2217" s="9"/>
    </row>
    <row r="2218" spans="2:32" ht="15" x14ac:dyDescent="0.2">
      <c r="B2218" s="9"/>
      <c r="L2218" s="9"/>
      <c r="V2218" s="9"/>
      <c r="AF2218" s="9"/>
    </row>
    <row r="2219" spans="2:32" ht="15" x14ac:dyDescent="0.2">
      <c r="B2219" s="9"/>
      <c r="L2219" s="9"/>
      <c r="V2219" s="9"/>
      <c r="AF2219" s="9"/>
    </row>
    <row r="2220" spans="2:32" ht="15" x14ac:dyDescent="0.2">
      <c r="B2220" s="9"/>
      <c r="L2220" s="9"/>
      <c r="V2220" s="9"/>
      <c r="AF2220" s="9"/>
    </row>
    <row r="2221" spans="2:32" ht="15" x14ac:dyDescent="0.2">
      <c r="B2221" s="9"/>
      <c r="L2221" s="9"/>
      <c r="V2221" s="9"/>
      <c r="AF2221" s="9"/>
    </row>
    <row r="2222" spans="2:32" ht="15" x14ac:dyDescent="0.2">
      <c r="B2222" s="9"/>
      <c r="L2222" s="9"/>
      <c r="V2222" s="9"/>
      <c r="AF2222" s="9"/>
    </row>
    <row r="2223" spans="2:32" ht="15" x14ac:dyDescent="0.2">
      <c r="B2223" s="9"/>
      <c r="L2223" s="9"/>
      <c r="V2223" s="9"/>
      <c r="AF2223" s="9"/>
    </row>
    <row r="2224" spans="2:32" ht="15" x14ac:dyDescent="0.2">
      <c r="B2224" s="9"/>
      <c r="L2224" s="9"/>
      <c r="V2224" s="9"/>
      <c r="AF2224" s="9"/>
    </row>
    <row r="2225" spans="2:32" ht="15" x14ac:dyDescent="0.2">
      <c r="B2225" s="9"/>
      <c r="L2225" s="9"/>
      <c r="V2225" s="9"/>
      <c r="AF2225" s="9"/>
    </row>
    <row r="2226" spans="2:32" ht="15" x14ac:dyDescent="0.2">
      <c r="B2226" s="9"/>
      <c r="L2226" s="9"/>
      <c r="V2226" s="9"/>
      <c r="AF2226" s="9"/>
    </row>
    <row r="2227" spans="2:32" ht="15" x14ac:dyDescent="0.2">
      <c r="B2227" s="9"/>
      <c r="L2227" s="9"/>
      <c r="V2227" s="9"/>
      <c r="AF2227" s="9"/>
    </row>
    <row r="2228" spans="2:32" ht="15" x14ac:dyDescent="0.2">
      <c r="B2228" s="9"/>
      <c r="L2228" s="9"/>
      <c r="V2228" s="9"/>
      <c r="AF2228" s="9"/>
    </row>
    <row r="2229" spans="2:32" ht="15" x14ac:dyDescent="0.2">
      <c r="B2229" s="9"/>
      <c r="L2229" s="9"/>
      <c r="V2229" s="9"/>
      <c r="AF2229" s="9"/>
    </row>
    <row r="2230" spans="2:32" ht="15" x14ac:dyDescent="0.2">
      <c r="B2230" s="9"/>
      <c r="L2230" s="9"/>
      <c r="V2230" s="9"/>
      <c r="AF2230" s="9"/>
    </row>
    <row r="2231" spans="2:32" ht="15" x14ac:dyDescent="0.2">
      <c r="B2231" s="9"/>
      <c r="L2231" s="9"/>
      <c r="V2231" s="9"/>
      <c r="AF2231" s="9"/>
    </row>
    <row r="2232" spans="2:32" ht="15" x14ac:dyDescent="0.2">
      <c r="B2232" s="9"/>
      <c r="L2232" s="9"/>
      <c r="V2232" s="9"/>
      <c r="AF2232" s="9"/>
    </row>
    <row r="2233" spans="2:32" ht="15" x14ac:dyDescent="0.2">
      <c r="B2233" s="9"/>
      <c r="L2233" s="9"/>
      <c r="V2233" s="9"/>
      <c r="AF2233" s="9"/>
    </row>
    <row r="2234" spans="2:32" ht="15" x14ac:dyDescent="0.2">
      <c r="B2234" s="9"/>
      <c r="L2234" s="9"/>
      <c r="V2234" s="9"/>
      <c r="AF2234" s="9"/>
    </row>
    <row r="2235" spans="2:32" ht="15" x14ac:dyDescent="0.2">
      <c r="B2235" s="9"/>
      <c r="L2235" s="9"/>
      <c r="V2235" s="9"/>
      <c r="AF2235" s="9"/>
    </row>
    <row r="2236" spans="2:32" ht="15" x14ac:dyDescent="0.2">
      <c r="B2236" s="9"/>
      <c r="L2236" s="9"/>
      <c r="V2236" s="9"/>
      <c r="AF2236" s="9"/>
    </row>
    <row r="2237" spans="2:32" ht="15" x14ac:dyDescent="0.2">
      <c r="B2237" s="9"/>
      <c r="L2237" s="9"/>
      <c r="V2237" s="9"/>
      <c r="AF2237" s="9"/>
    </row>
    <row r="2238" spans="2:32" ht="15" x14ac:dyDescent="0.2">
      <c r="B2238" s="9"/>
      <c r="L2238" s="9"/>
      <c r="V2238" s="9"/>
      <c r="AF2238" s="9"/>
    </row>
    <row r="2239" spans="2:32" ht="15" x14ac:dyDescent="0.2">
      <c r="B2239" s="9"/>
      <c r="L2239" s="9"/>
      <c r="V2239" s="9"/>
      <c r="AF2239" s="9"/>
    </row>
    <row r="2240" spans="2:32" ht="15" x14ac:dyDescent="0.2">
      <c r="B2240" s="9"/>
      <c r="L2240" s="9"/>
      <c r="V2240" s="9"/>
      <c r="AF2240" s="9"/>
    </row>
    <row r="2241" spans="2:32" ht="15" x14ac:dyDescent="0.2">
      <c r="B2241" s="9"/>
      <c r="L2241" s="9"/>
      <c r="V2241" s="9"/>
      <c r="AF2241" s="9"/>
    </row>
    <row r="2242" spans="2:32" ht="15" x14ac:dyDescent="0.2">
      <c r="B2242" s="9"/>
      <c r="L2242" s="9"/>
      <c r="V2242" s="9"/>
      <c r="AF2242" s="9"/>
    </row>
    <row r="2243" spans="2:32" ht="15" x14ac:dyDescent="0.2">
      <c r="B2243" s="9"/>
      <c r="L2243" s="9"/>
      <c r="V2243" s="9"/>
      <c r="AF2243" s="9"/>
    </row>
    <row r="2244" spans="2:32" ht="15" x14ac:dyDescent="0.2">
      <c r="B2244" s="9"/>
      <c r="L2244" s="9"/>
      <c r="V2244" s="9"/>
      <c r="AF2244" s="9"/>
    </row>
    <row r="2245" spans="2:32" ht="15" x14ac:dyDescent="0.2">
      <c r="B2245" s="9"/>
      <c r="L2245" s="9"/>
      <c r="V2245" s="9"/>
      <c r="AF2245" s="9"/>
    </row>
    <row r="2246" spans="2:32" ht="15" x14ac:dyDescent="0.2">
      <c r="B2246" s="9"/>
      <c r="L2246" s="9"/>
      <c r="V2246" s="9"/>
      <c r="AF2246" s="9"/>
    </row>
    <row r="2247" spans="2:32" ht="15" x14ac:dyDescent="0.2">
      <c r="B2247" s="9"/>
      <c r="L2247" s="9"/>
      <c r="V2247" s="9"/>
      <c r="AF2247" s="9"/>
    </row>
    <row r="2248" spans="2:32" ht="15" x14ac:dyDescent="0.2">
      <c r="B2248" s="9"/>
      <c r="L2248" s="9"/>
      <c r="V2248" s="9"/>
      <c r="AF2248" s="9"/>
    </row>
    <row r="2249" spans="2:32" ht="15" x14ac:dyDescent="0.2">
      <c r="B2249" s="9"/>
      <c r="L2249" s="9"/>
      <c r="V2249" s="9"/>
      <c r="AF2249" s="9"/>
    </row>
    <row r="2250" spans="2:32" ht="15" x14ac:dyDescent="0.2">
      <c r="B2250" s="9"/>
      <c r="L2250" s="9"/>
      <c r="V2250" s="9"/>
      <c r="AF2250" s="9"/>
    </row>
    <row r="2251" spans="2:32" ht="15" x14ac:dyDescent="0.2">
      <c r="B2251" s="9"/>
      <c r="L2251" s="9"/>
      <c r="V2251" s="9"/>
      <c r="AF2251" s="9"/>
    </row>
    <row r="2252" spans="2:32" ht="15" x14ac:dyDescent="0.2">
      <c r="B2252" s="9"/>
      <c r="L2252" s="9"/>
      <c r="V2252" s="9"/>
      <c r="AF2252" s="9"/>
    </row>
    <row r="2253" spans="2:32" ht="15" x14ac:dyDescent="0.2">
      <c r="B2253" s="9"/>
      <c r="L2253" s="9"/>
      <c r="V2253" s="9"/>
      <c r="AF2253" s="9"/>
    </row>
    <row r="2254" spans="2:32" ht="15" x14ac:dyDescent="0.2">
      <c r="B2254" s="9"/>
      <c r="L2254" s="9"/>
      <c r="V2254" s="9"/>
      <c r="AF2254" s="9"/>
    </row>
    <row r="2255" spans="2:32" ht="15" x14ac:dyDescent="0.2">
      <c r="B2255" s="9"/>
      <c r="L2255" s="9"/>
      <c r="V2255" s="9"/>
      <c r="AF2255" s="9"/>
    </row>
    <row r="2256" spans="2:32" ht="15" x14ac:dyDescent="0.2">
      <c r="B2256" s="9"/>
      <c r="L2256" s="9"/>
      <c r="V2256" s="9"/>
      <c r="AF2256" s="9"/>
    </row>
    <row r="2257" spans="2:32" ht="15" x14ac:dyDescent="0.2">
      <c r="B2257" s="9"/>
      <c r="L2257" s="9"/>
      <c r="V2257" s="9"/>
      <c r="AF2257" s="9"/>
    </row>
    <row r="2258" spans="2:32" ht="15" x14ac:dyDescent="0.2">
      <c r="B2258" s="9"/>
      <c r="L2258" s="9"/>
      <c r="V2258" s="9"/>
      <c r="AF2258" s="9"/>
    </row>
    <row r="2259" spans="2:32" ht="15" x14ac:dyDescent="0.2">
      <c r="B2259" s="9"/>
      <c r="L2259" s="9"/>
      <c r="V2259" s="9"/>
      <c r="AF2259" s="9"/>
    </row>
    <row r="2260" spans="2:32" ht="15" x14ac:dyDescent="0.2">
      <c r="B2260" s="9"/>
      <c r="L2260" s="9"/>
      <c r="V2260" s="9"/>
      <c r="AF2260" s="9"/>
    </row>
    <row r="2261" spans="2:32" ht="15" x14ac:dyDescent="0.2">
      <c r="B2261" s="9"/>
      <c r="L2261" s="9"/>
      <c r="V2261" s="9"/>
      <c r="AF2261" s="9"/>
    </row>
    <row r="2262" spans="2:32" ht="15" x14ac:dyDescent="0.2">
      <c r="B2262" s="9"/>
      <c r="L2262" s="9"/>
      <c r="V2262" s="9"/>
      <c r="AF2262" s="9"/>
    </row>
    <row r="2263" spans="2:32" ht="15" x14ac:dyDescent="0.2">
      <c r="B2263" s="9"/>
      <c r="L2263" s="9"/>
      <c r="V2263" s="9"/>
      <c r="AF2263" s="9"/>
    </row>
    <row r="2264" spans="2:32" ht="15" x14ac:dyDescent="0.2">
      <c r="B2264" s="9"/>
      <c r="L2264" s="9"/>
      <c r="V2264" s="9"/>
      <c r="AF2264" s="9"/>
    </row>
    <row r="2265" spans="2:32" ht="15" x14ac:dyDescent="0.2">
      <c r="B2265" s="9"/>
      <c r="L2265" s="9"/>
      <c r="V2265" s="9"/>
      <c r="AF2265" s="9"/>
    </row>
    <row r="2266" spans="2:32" ht="15" x14ac:dyDescent="0.2">
      <c r="B2266" s="9"/>
      <c r="L2266" s="9"/>
      <c r="V2266" s="9"/>
      <c r="AF2266" s="9"/>
    </row>
    <row r="2267" spans="2:32" ht="15" x14ac:dyDescent="0.2">
      <c r="B2267" s="9"/>
      <c r="L2267" s="9"/>
      <c r="V2267" s="9"/>
      <c r="AF2267" s="9"/>
    </row>
    <row r="2268" spans="2:32" ht="15" x14ac:dyDescent="0.2">
      <c r="B2268" s="9"/>
      <c r="L2268" s="9"/>
      <c r="V2268" s="9"/>
      <c r="AF2268" s="9"/>
    </row>
    <row r="2269" spans="2:32" ht="15" x14ac:dyDescent="0.2">
      <c r="B2269" s="9"/>
      <c r="L2269" s="9"/>
      <c r="V2269" s="9"/>
      <c r="AF2269" s="9"/>
    </row>
    <row r="2270" spans="2:32" ht="15" x14ac:dyDescent="0.2">
      <c r="B2270" s="9"/>
      <c r="L2270" s="9"/>
      <c r="V2270" s="9"/>
      <c r="AF2270" s="9"/>
    </row>
    <row r="2271" spans="2:32" ht="15" x14ac:dyDescent="0.2">
      <c r="B2271" s="9"/>
      <c r="L2271" s="9"/>
      <c r="V2271" s="9"/>
      <c r="AF2271" s="9"/>
    </row>
    <row r="2272" spans="2:32" ht="15" x14ac:dyDescent="0.2">
      <c r="B2272" s="9"/>
      <c r="L2272" s="9"/>
      <c r="V2272" s="9"/>
      <c r="AF2272" s="9"/>
    </row>
    <row r="2273" spans="2:32" ht="15" x14ac:dyDescent="0.2">
      <c r="B2273" s="9"/>
      <c r="L2273" s="9"/>
      <c r="V2273" s="9"/>
      <c r="AF2273" s="9"/>
    </row>
    <row r="2274" spans="2:32" ht="15" x14ac:dyDescent="0.2">
      <c r="B2274" s="9"/>
      <c r="L2274" s="9"/>
      <c r="V2274" s="9"/>
      <c r="AF2274" s="9"/>
    </row>
    <row r="2275" spans="2:32" ht="15" x14ac:dyDescent="0.2">
      <c r="B2275" s="9"/>
      <c r="L2275" s="9"/>
      <c r="V2275" s="9"/>
      <c r="AF2275" s="9"/>
    </row>
    <row r="2276" spans="2:32" ht="15" x14ac:dyDescent="0.2">
      <c r="B2276" s="9"/>
      <c r="L2276" s="9"/>
      <c r="V2276" s="9"/>
      <c r="AF2276" s="9"/>
    </row>
    <row r="2277" spans="2:32" ht="15" x14ac:dyDescent="0.2">
      <c r="B2277" s="9"/>
      <c r="L2277" s="9"/>
      <c r="V2277" s="9"/>
      <c r="AF2277" s="9"/>
    </row>
    <row r="2278" spans="2:32" ht="15" x14ac:dyDescent="0.2">
      <c r="B2278" s="9"/>
      <c r="L2278" s="9"/>
      <c r="V2278" s="9"/>
      <c r="AF2278" s="9"/>
    </row>
    <row r="2279" spans="2:32" ht="15" x14ac:dyDescent="0.2">
      <c r="B2279" s="9"/>
      <c r="L2279" s="9"/>
      <c r="V2279" s="9"/>
      <c r="AF2279" s="9"/>
    </row>
    <row r="2280" spans="2:32" ht="15" x14ac:dyDescent="0.2">
      <c r="B2280" s="9"/>
      <c r="L2280" s="9"/>
      <c r="V2280" s="9"/>
      <c r="AF2280" s="9"/>
    </row>
    <row r="2281" spans="2:32" ht="15" x14ac:dyDescent="0.2">
      <c r="B2281" s="9"/>
      <c r="L2281" s="9"/>
      <c r="V2281" s="9"/>
      <c r="AF2281" s="9"/>
    </row>
    <row r="2282" spans="2:32" ht="15" x14ac:dyDescent="0.2">
      <c r="B2282" s="9"/>
      <c r="L2282" s="9"/>
      <c r="V2282" s="9"/>
      <c r="AF2282" s="9"/>
    </row>
    <row r="2283" spans="2:32" ht="15" x14ac:dyDescent="0.2">
      <c r="B2283" s="9"/>
      <c r="L2283" s="9"/>
      <c r="V2283" s="9"/>
      <c r="AF2283" s="9"/>
    </row>
    <row r="2284" spans="2:32" ht="15" x14ac:dyDescent="0.2">
      <c r="B2284" s="9"/>
      <c r="L2284" s="9"/>
      <c r="V2284" s="9"/>
      <c r="AF2284" s="9"/>
    </row>
    <row r="2285" spans="2:32" ht="15" x14ac:dyDescent="0.2">
      <c r="B2285" s="9"/>
      <c r="L2285" s="9"/>
      <c r="V2285" s="9"/>
      <c r="AF2285" s="9"/>
    </row>
    <row r="2286" spans="2:32" ht="15" x14ac:dyDescent="0.2">
      <c r="B2286" s="9"/>
      <c r="L2286" s="9"/>
      <c r="V2286" s="9"/>
      <c r="AF2286" s="9"/>
    </row>
    <row r="2287" spans="2:32" ht="15" x14ac:dyDescent="0.2">
      <c r="B2287" s="9"/>
      <c r="L2287" s="9"/>
      <c r="V2287" s="9"/>
      <c r="AF2287" s="9"/>
    </row>
    <row r="2288" spans="2:32" ht="15" x14ac:dyDescent="0.2">
      <c r="B2288" s="9"/>
      <c r="L2288" s="9"/>
      <c r="V2288" s="9"/>
      <c r="AF2288" s="9"/>
    </row>
    <row r="2289" spans="2:32" ht="15" x14ac:dyDescent="0.2">
      <c r="B2289" s="9"/>
      <c r="L2289" s="9"/>
      <c r="V2289" s="9"/>
      <c r="AF2289" s="9"/>
    </row>
    <row r="2290" spans="2:32" ht="15" x14ac:dyDescent="0.2">
      <c r="B2290" s="9"/>
      <c r="L2290" s="9"/>
      <c r="V2290" s="9"/>
      <c r="AF2290" s="9"/>
    </row>
    <row r="2291" spans="2:32" ht="15" x14ac:dyDescent="0.2">
      <c r="B2291" s="9"/>
      <c r="L2291" s="9"/>
      <c r="V2291" s="9"/>
      <c r="AF2291" s="9"/>
    </row>
    <row r="2292" spans="2:32" ht="15" x14ac:dyDescent="0.2">
      <c r="B2292" s="9"/>
      <c r="L2292" s="9"/>
      <c r="V2292" s="9"/>
      <c r="AF2292" s="9"/>
    </row>
    <row r="2293" spans="2:32" ht="15" x14ac:dyDescent="0.2">
      <c r="B2293" s="9"/>
      <c r="L2293" s="9"/>
      <c r="V2293" s="9"/>
      <c r="AF2293" s="9"/>
    </row>
    <row r="2294" spans="2:32" ht="15" x14ac:dyDescent="0.2">
      <c r="B2294" s="9"/>
      <c r="L2294" s="9"/>
      <c r="V2294" s="9"/>
      <c r="AF2294" s="9"/>
    </row>
    <row r="2295" spans="2:32" ht="15" x14ac:dyDescent="0.2">
      <c r="B2295" s="9"/>
      <c r="L2295" s="9"/>
      <c r="V2295" s="9"/>
      <c r="AF2295" s="9"/>
    </row>
    <row r="2296" spans="2:32" ht="15" x14ac:dyDescent="0.2">
      <c r="B2296" s="9"/>
      <c r="L2296" s="9"/>
      <c r="V2296" s="9"/>
      <c r="AF2296" s="9"/>
    </row>
    <row r="2297" spans="2:32" ht="15" x14ac:dyDescent="0.2">
      <c r="B2297" s="9"/>
      <c r="L2297" s="9"/>
      <c r="V2297" s="9"/>
      <c r="AF2297" s="9"/>
    </row>
    <row r="2298" spans="2:32" ht="15" x14ac:dyDescent="0.2">
      <c r="B2298" s="9"/>
      <c r="L2298" s="9"/>
      <c r="V2298" s="9"/>
      <c r="AF2298" s="9"/>
    </row>
    <row r="2299" spans="2:32" ht="15" x14ac:dyDescent="0.2">
      <c r="B2299" s="9"/>
      <c r="L2299" s="9"/>
      <c r="V2299" s="9"/>
      <c r="AF2299" s="9"/>
    </row>
    <row r="2300" spans="2:32" ht="15" x14ac:dyDescent="0.2">
      <c r="B2300" s="9"/>
      <c r="L2300" s="9"/>
      <c r="V2300" s="9"/>
      <c r="AF2300" s="9"/>
    </row>
    <row r="2301" spans="2:32" ht="15" x14ac:dyDescent="0.2">
      <c r="B2301" s="9"/>
      <c r="L2301" s="9"/>
      <c r="V2301" s="9"/>
      <c r="AF2301" s="9"/>
    </row>
    <row r="2302" spans="2:32" ht="15" x14ac:dyDescent="0.2">
      <c r="B2302" s="9"/>
      <c r="L2302" s="9"/>
      <c r="V2302" s="9"/>
      <c r="AF2302" s="9"/>
    </row>
    <row r="2303" spans="2:32" ht="15" x14ac:dyDescent="0.2">
      <c r="B2303" s="9"/>
      <c r="L2303" s="9"/>
      <c r="V2303" s="9"/>
      <c r="AF2303" s="9"/>
    </row>
    <row r="2304" spans="2:32" ht="15" x14ac:dyDescent="0.2">
      <c r="B2304" s="9"/>
      <c r="L2304" s="9"/>
      <c r="V2304" s="9"/>
      <c r="AF2304" s="9"/>
    </row>
    <row r="2305" spans="2:32" ht="15" x14ac:dyDescent="0.2">
      <c r="B2305" s="9"/>
      <c r="L2305" s="9"/>
      <c r="V2305" s="9"/>
      <c r="AF2305" s="9"/>
    </row>
    <row r="2306" spans="2:32" ht="15" x14ac:dyDescent="0.2">
      <c r="B2306" s="9"/>
      <c r="L2306" s="9"/>
      <c r="V2306" s="9"/>
      <c r="AF2306" s="9"/>
    </row>
    <row r="2307" spans="2:32" ht="15" x14ac:dyDescent="0.2">
      <c r="B2307" s="9"/>
      <c r="L2307" s="9"/>
      <c r="V2307" s="9"/>
      <c r="AF2307" s="9"/>
    </row>
    <row r="2308" spans="2:32" ht="15" x14ac:dyDescent="0.2">
      <c r="B2308" s="9"/>
      <c r="L2308" s="9"/>
      <c r="V2308" s="9"/>
      <c r="AF2308" s="9"/>
    </row>
    <row r="2309" spans="2:32" ht="15" x14ac:dyDescent="0.2">
      <c r="B2309" s="9"/>
      <c r="L2309" s="9"/>
      <c r="V2309" s="9"/>
      <c r="AF2309" s="9"/>
    </row>
    <row r="2310" spans="2:32" ht="15" x14ac:dyDescent="0.2">
      <c r="B2310" s="9"/>
      <c r="L2310" s="9"/>
      <c r="V2310" s="9"/>
      <c r="AF2310" s="9"/>
    </row>
    <row r="2311" spans="2:32" ht="15" x14ac:dyDescent="0.2">
      <c r="B2311" s="9"/>
      <c r="L2311" s="9"/>
      <c r="V2311" s="9"/>
      <c r="AF2311" s="9"/>
    </row>
    <row r="2312" spans="2:32" ht="15" x14ac:dyDescent="0.2">
      <c r="B2312" s="9"/>
      <c r="L2312" s="9"/>
      <c r="V2312" s="9"/>
      <c r="AF2312" s="9"/>
    </row>
    <row r="2313" spans="2:32" ht="15" x14ac:dyDescent="0.2">
      <c r="B2313" s="9"/>
      <c r="L2313" s="9"/>
      <c r="V2313" s="9"/>
      <c r="AF2313" s="9"/>
    </row>
    <row r="2314" spans="2:32" ht="15" x14ac:dyDescent="0.2">
      <c r="B2314" s="9"/>
      <c r="L2314" s="9"/>
      <c r="V2314" s="9"/>
      <c r="AF2314" s="9"/>
    </row>
    <row r="2315" spans="2:32" ht="15" x14ac:dyDescent="0.2">
      <c r="B2315" s="9"/>
      <c r="L2315" s="9"/>
      <c r="V2315" s="9"/>
      <c r="AF2315" s="9"/>
    </row>
    <row r="2316" spans="2:32" ht="15" x14ac:dyDescent="0.2">
      <c r="B2316" s="9"/>
      <c r="L2316" s="9"/>
      <c r="V2316" s="9"/>
      <c r="AF2316" s="9"/>
    </row>
    <row r="2317" spans="2:32" ht="15" x14ac:dyDescent="0.2">
      <c r="B2317" s="9"/>
      <c r="L2317" s="9"/>
      <c r="V2317" s="9"/>
      <c r="AF2317" s="9"/>
    </row>
    <row r="2318" spans="2:32" ht="15" x14ac:dyDescent="0.2">
      <c r="B2318" s="9"/>
      <c r="L2318" s="9"/>
      <c r="V2318" s="9"/>
      <c r="AF2318" s="9"/>
    </row>
    <row r="2319" spans="2:32" ht="15" x14ac:dyDescent="0.2">
      <c r="B2319" s="9"/>
      <c r="L2319" s="9"/>
      <c r="V2319" s="9"/>
      <c r="AF2319" s="9"/>
    </row>
    <row r="2320" spans="2:32" ht="15" x14ac:dyDescent="0.2">
      <c r="B2320" s="9"/>
      <c r="L2320" s="9"/>
      <c r="V2320" s="9"/>
      <c r="AF2320" s="9"/>
    </row>
    <row r="2321" spans="2:32" ht="15" x14ac:dyDescent="0.2">
      <c r="B2321" s="9"/>
      <c r="L2321" s="9"/>
      <c r="V2321" s="9"/>
      <c r="AF2321" s="9"/>
    </row>
    <row r="2322" spans="2:32" ht="15" x14ac:dyDescent="0.2">
      <c r="B2322" s="9"/>
      <c r="L2322" s="9"/>
      <c r="V2322" s="9"/>
      <c r="AF2322" s="9"/>
    </row>
    <row r="2323" spans="2:32" ht="15" x14ac:dyDescent="0.2">
      <c r="B2323" s="9"/>
      <c r="L2323" s="9"/>
      <c r="V2323" s="9"/>
      <c r="AF2323" s="9"/>
    </row>
    <row r="2324" spans="2:32" ht="15" x14ac:dyDescent="0.2">
      <c r="B2324" s="9"/>
      <c r="L2324" s="9"/>
      <c r="V2324" s="9"/>
      <c r="AF2324" s="9"/>
    </row>
    <row r="2325" spans="2:32" ht="15" x14ac:dyDescent="0.2">
      <c r="B2325" s="9"/>
      <c r="L2325" s="9"/>
      <c r="V2325" s="9"/>
      <c r="AF2325" s="9"/>
    </row>
    <row r="2326" spans="2:32" ht="15" x14ac:dyDescent="0.2">
      <c r="B2326" s="9"/>
      <c r="L2326" s="9"/>
      <c r="V2326" s="9"/>
      <c r="AF2326" s="9"/>
    </row>
    <row r="2327" spans="2:32" ht="15" x14ac:dyDescent="0.2">
      <c r="B2327" s="9"/>
      <c r="L2327" s="9"/>
      <c r="V2327" s="9"/>
      <c r="AF2327" s="9"/>
    </row>
    <row r="2328" spans="2:32" ht="15" x14ac:dyDescent="0.2">
      <c r="B2328" s="9"/>
      <c r="L2328" s="9"/>
      <c r="V2328" s="9"/>
      <c r="AF2328" s="9"/>
    </row>
    <row r="2329" spans="2:32" ht="15" x14ac:dyDescent="0.2">
      <c r="B2329" s="9"/>
      <c r="L2329" s="9"/>
      <c r="V2329" s="9"/>
      <c r="AF2329" s="9"/>
    </row>
    <row r="2330" spans="2:32" ht="15" x14ac:dyDescent="0.2">
      <c r="B2330" s="9"/>
      <c r="L2330" s="9"/>
      <c r="V2330" s="9"/>
      <c r="AF2330" s="9"/>
    </row>
    <row r="2331" spans="2:32" ht="15" x14ac:dyDescent="0.2">
      <c r="B2331" s="9"/>
      <c r="L2331" s="9"/>
      <c r="V2331" s="9"/>
      <c r="AF2331" s="9"/>
    </row>
    <row r="2332" spans="2:32" ht="15" x14ac:dyDescent="0.2">
      <c r="B2332" s="9"/>
      <c r="L2332" s="9"/>
      <c r="V2332" s="9"/>
      <c r="AF2332" s="9"/>
    </row>
    <row r="2333" spans="2:32" ht="15" x14ac:dyDescent="0.2">
      <c r="B2333" s="9"/>
      <c r="L2333" s="9"/>
      <c r="V2333" s="9"/>
      <c r="AF2333" s="9"/>
    </row>
    <row r="2334" spans="2:32" ht="15" x14ac:dyDescent="0.2">
      <c r="B2334" s="9"/>
      <c r="L2334" s="9"/>
      <c r="V2334" s="9"/>
      <c r="AF2334" s="9"/>
    </row>
    <row r="2335" spans="2:32" ht="15" x14ac:dyDescent="0.2">
      <c r="B2335" s="9"/>
      <c r="L2335" s="9"/>
      <c r="V2335" s="9"/>
      <c r="AF2335" s="9"/>
    </row>
    <row r="2336" spans="2:32" ht="15" x14ac:dyDescent="0.2">
      <c r="B2336" s="9"/>
      <c r="L2336" s="9"/>
      <c r="V2336" s="9"/>
      <c r="AF2336" s="9"/>
    </row>
    <row r="2337" spans="2:32" ht="15" x14ac:dyDescent="0.2">
      <c r="B2337" s="9"/>
      <c r="L2337" s="9"/>
      <c r="V2337" s="9"/>
      <c r="AF2337" s="9"/>
    </row>
    <row r="2338" spans="2:32" ht="15" x14ac:dyDescent="0.2">
      <c r="B2338" s="9"/>
      <c r="L2338" s="9"/>
      <c r="V2338" s="9"/>
      <c r="AF2338" s="9"/>
    </row>
    <row r="2339" spans="2:32" ht="15" x14ac:dyDescent="0.2">
      <c r="B2339" s="9"/>
      <c r="L2339" s="9"/>
      <c r="V2339" s="9"/>
      <c r="AF2339" s="9"/>
    </row>
    <row r="2340" spans="2:32" ht="15" x14ac:dyDescent="0.2">
      <c r="B2340" s="9"/>
      <c r="L2340" s="9"/>
      <c r="V2340" s="9"/>
      <c r="AF2340" s="9"/>
    </row>
    <row r="2341" spans="2:32" ht="15" x14ac:dyDescent="0.2">
      <c r="B2341" s="9"/>
      <c r="L2341" s="9"/>
      <c r="V2341" s="9"/>
      <c r="AF2341" s="9"/>
    </row>
    <row r="2342" spans="2:32" ht="15" x14ac:dyDescent="0.2">
      <c r="B2342" s="9"/>
      <c r="L2342" s="9"/>
      <c r="V2342" s="9"/>
      <c r="AF2342" s="9"/>
    </row>
    <row r="2343" spans="2:32" ht="15" x14ac:dyDescent="0.2">
      <c r="B2343" s="9"/>
      <c r="L2343" s="9"/>
      <c r="V2343" s="9"/>
      <c r="AF2343" s="9"/>
    </row>
    <row r="2344" spans="2:32" ht="15" x14ac:dyDescent="0.2">
      <c r="B2344" s="9"/>
      <c r="L2344" s="9"/>
      <c r="V2344" s="9"/>
      <c r="AF2344" s="9"/>
    </row>
    <row r="2345" spans="2:32" ht="15" x14ac:dyDescent="0.2">
      <c r="B2345" s="9"/>
      <c r="L2345" s="9"/>
      <c r="V2345" s="9"/>
      <c r="AF2345" s="9"/>
    </row>
    <row r="2346" spans="2:32" ht="15" x14ac:dyDescent="0.2">
      <c r="B2346" s="9"/>
      <c r="L2346" s="9"/>
      <c r="V2346" s="9"/>
      <c r="AF2346" s="9"/>
    </row>
    <row r="2347" spans="2:32" ht="15" x14ac:dyDescent="0.2">
      <c r="B2347" s="9"/>
      <c r="L2347" s="9"/>
      <c r="V2347" s="9"/>
      <c r="AF2347" s="9"/>
    </row>
    <row r="2348" spans="2:32" ht="15" x14ac:dyDescent="0.2">
      <c r="B2348" s="9"/>
      <c r="L2348" s="9"/>
      <c r="V2348" s="9"/>
      <c r="AF2348" s="9"/>
    </row>
    <row r="2349" spans="2:32" ht="15" x14ac:dyDescent="0.2">
      <c r="B2349" s="9"/>
      <c r="L2349" s="9"/>
      <c r="V2349" s="9"/>
      <c r="AF2349" s="9"/>
    </row>
    <row r="2350" spans="2:32" ht="15" x14ac:dyDescent="0.2">
      <c r="B2350" s="9"/>
      <c r="L2350" s="9"/>
      <c r="V2350" s="9"/>
      <c r="AF2350" s="9"/>
    </row>
    <row r="2351" spans="2:32" ht="15" x14ac:dyDescent="0.2">
      <c r="B2351" s="9"/>
      <c r="L2351" s="9"/>
      <c r="V2351" s="9"/>
      <c r="AF2351" s="9"/>
    </row>
    <row r="2352" spans="2:32" ht="15" x14ac:dyDescent="0.2">
      <c r="B2352" s="9"/>
      <c r="L2352" s="9"/>
      <c r="V2352" s="9"/>
      <c r="AF2352" s="9"/>
    </row>
    <row r="2353" spans="2:32" ht="15" x14ac:dyDescent="0.2">
      <c r="B2353" s="9"/>
      <c r="L2353" s="9"/>
      <c r="V2353" s="9"/>
      <c r="AF2353" s="9"/>
    </row>
    <row r="2354" spans="2:32" ht="15" x14ac:dyDescent="0.2">
      <c r="B2354" s="9"/>
      <c r="L2354" s="9"/>
      <c r="V2354" s="9"/>
      <c r="AF2354" s="9"/>
    </row>
    <row r="2355" spans="2:32" ht="15" x14ac:dyDescent="0.2">
      <c r="B2355" s="9"/>
      <c r="L2355" s="9"/>
      <c r="V2355" s="9"/>
      <c r="AF2355" s="9"/>
    </row>
    <row r="2356" spans="2:32" ht="15" x14ac:dyDescent="0.2">
      <c r="B2356" s="9"/>
      <c r="L2356" s="9"/>
      <c r="V2356" s="9"/>
      <c r="AF2356" s="9"/>
    </row>
    <row r="2357" spans="2:32" ht="15" x14ac:dyDescent="0.2">
      <c r="B2357" s="9"/>
      <c r="L2357" s="9"/>
      <c r="V2357" s="9"/>
      <c r="AF2357" s="9"/>
    </row>
    <row r="2358" spans="2:32" ht="15" x14ac:dyDescent="0.2">
      <c r="B2358" s="9"/>
      <c r="L2358" s="9"/>
      <c r="V2358" s="9"/>
      <c r="AF2358" s="9"/>
    </row>
    <row r="2359" spans="2:32" ht="15" x14ac:dyDescent="0.2">
      <c r="B2359" s="9"/>
      <c r="L2359" s="9"/>
      <c r="V2359" s="9"/>
      <c r="AF2359" s="9"/>
    </row>
    <row r="2360" spans="2:32" ht="15" x14ac:dyDescent="0.2">
      <c r="B2360" s="9"/>
      <c r="L2360" s="9"/>
      <c r="V2360" s="9"/>
      <c r="AF2360" s="9"/>
    </row>
    <row r="2361" spans="2:32" ht="15" x14ac:dyDescent="0.2">
      <c r="B2361" s="9"/>
      <c r="L2361" s="9"/>
      <c r="V2361" s="9"/>
      <c r="AF2361" s="9"/>
    </row>
    <row r="2362" spans="2:32" ht="15" x14ac:dyDescent="0.2">
      <c r="B2362" s="9"/>
      <c r="L2362" s="9"/>
      <c r="V2362" s="9"/>
      <c r="AF2362" s="9"/>
    </row>
    <row r="2363" spans="2:32" ht="15" x14ac:dyDescent="0.2">
      <c r="B2363" s="9"/>
      <c r="L2363" s="9"/>
      <c r="V2363" s="9"/>
      <c r="AF2363" s="9"/>
    </row>
    <row r="2364" spans="2:32" ht="15" x14ac:dyDescent="0.2">
      <c r="B2364" s="9"/>
      <c r="L2364" s="9"/>
      <c r="V2364" s="9"/>
      <c r="AF2364" s="9"/>
    </row>
    <row r="2365" spans="2:32" ht="15" x14ac:dyDescent="0.2">
      <c r="B2365" s="9"/>
      <c r="L2365" s="9"/>
      <c r="V2365" s="9"/>
      <c r="AF2365" s="9"/>
    </row>
    <row r="2366" spans="2:32" ht="15" x14ac:dyDescent="0.2">
      <c r="B2366" s="9"/>
      <c r="L2366" s="9"/>
      <c r="V2366" s="9"/>
      <c r="AF2366" s="9"/>
    </row>
    <row r="2367" spans="2:32" ht="15" x14ac:dyDescent="0.2">
      <c r="B2367" s="9"/>
      <c r="L2367" s="9"/>
      <c r="V2367" s="9"/>
      <c r="AF2367" s="9"/>
    </row>
    <row r="2368" spans="2:32" ht="15" x14ac:dyDescent="0.2">
      <c r="B2368" s="9"/>
      <c r="L2368" s="9"/>
      <c r="V2368" s="9"/>
      <c r="AF2368" s="9"/>
    </row>
    <row r="2369" spans="2:32" ht="15" x14ac:dyDescent="0.2">
      <c r="B2369" s="9"/>
      <c r="L2369" s="9"/>
      <c r="V2369" s="9"/>
      <c r="AF2369" s="9"/>
    </row>
    <row r="2370" spans="2:32" ht="15" x14ac:dyDescent="0.2">
      <c r="B2370" s="9"/>
      <c r="L2370" s="9"/>
      <c r="V2370" s="9"/>
      <c r="AF2370" s="9"/>
    </row>
    <row r="2371" spans="2:32" ht="15" x14ac:dyDescent="0.2">
      <c r="B2371" s="9"/>
      <c r="L2371" s="9"/>
      <c r="V2371" s="9"/>
      <c r="AF2371" s="9"/>
    </row>
    <row r="2372" spans="2:32" ht="15" x14ac:dyDescent="0.2">
      <c r="B2372" s="9"/>
      <c r="L2372" s="9"/>
      <c r="V2372" s="9"/>
      <c r="AF2372" s="9"/>
    </row>
    <row r="2373" spans="2:32" ht="15" x14ac:dyDescent="0.2">
      <c r="B2373" s="9"/>
      <c r="L2373" s="9"/>
      <c r="V2373" s="9"/>
      <c r="AF2373" s="9"/>
    </row>
    <row r="2374" spans="2:32" ht="15" x14ac:dyDescent="0.2">
      <c r="B2374" s="9"/>
      <c r="L2374" s="9"/>
      <c r="V2374" s="9"/>
      <c r="AF2374" s="9"/>
    </row>
    <row r="2375" spans="2:32" ht="15" x14ac:dyDescent="0.2">
      <c r="B2375" s="9"/>
      <c r="L2375" s="9"/>
      <c r="V2375" s="9"/>
      <c r="AF2375" s="9"/>
    </row>
    <row r="2376" spans="2:32" ht="15" x14ac:dyDescent="0.2">
      <c r="B2376" s="9"/>
      <c r="L2376" s="9"/>
      <c r="V2376" s="9"/>
      <c r="AF2376" s="9"/>
    </row>
    <row r="2377" spans="2:32" ht="15" x14ac:dyDescent="0.2">
      <c r="B2377" s="9"/>
      <c r="L2377" s="9"/>
      <c r="V2377" s="9"/>
      <c r="AF2377" s="9"/>
    </row>
    <row r="2378" spans="2:32" ht="15" x14ac:dyDescent="0.2">
      <c r="B2378" s="9"/>
      <c r="L2378" s="9"/>
      <c r="V2378" s="9"/>
      <c r="AF2378" s="9"/>
    </row>
    <row r="2379" spans="2:32" ht="15" x14ac:dyDescent="0.2">
      <c r="B2379" s="9"/>
      <c r="L2379" s="9"/>
      <c r="V2379" s="9"/>
      <c r="AF2379" s="9"/>
    </row>
    <row r="2380" spans="2:32" ht="15" x14ac:dyDescent="0.2">
      <c r="B2380" s="9"/>
      <c r="L2380" s="9"/>
      <c r="V2380" s="9"/>
      <c r="AF2380" s="9"/>
    </row>
    <row r="2381" spans="2:32" ht="15" x14ac:dyDescent="0.2">
      <c r="B2381" s="9"/>
      <c r="L2381" s="9"/>
      <c r="V2381" s="9"/>
      <c r="AF2381" s="9"/>
    </row>
    <row r="2382" spans="2:32" ht="15" x14ac:dyDescent="0.2">
      <c r="B2382" s="9"/>
      <c r="L2382" s="9"/>
      <c r="V2382" s="9"/>
      <c r="AF2382" s="9"/>
    </row>
    <row r="2383" spans="2:32" ht="15" x14ac:dyDescent="0.2">
      <c r="B2383" s="9"/>
      <c r="L2383" s="9"/>
      <c r="V2383" s="9"/>
      <c r="AF2383" s="9"/>
    </row>
    <row r="2384" spans="2:32" ht="15" x14ac:dyDescent="0.2">
      <c r="B2384" s="9"/>
      <c r="L2384" s="9"/>
      <c r="V2384" s="9"/>
      <c r="AF2384" s="9"/>
    </row>
    <row r="2385" spans="2:32" ht="15" x14ac:dyDescent="0.2">
      <c r="B2385" s="9"/>
      <c r="L2385" s="9"/>
      <c r="V2385" s="9"/>
      <c r="AF2385" s="9"/>
    </row>
    <row r="2386" spans="2:32" ht="15" x14ac:dyDescent="0.2">
      <c r="B2386" s="9"/>
      <c r="L2386" s="9"/>
      <c r="V2386" s="9"/>
      <c r="AF2386" s="9"/>
    </row>
    <row r="2387" spans="2:32" ht="15" x14ac:dyDescent="0.2">
      <c r="B2387" s="9"/>
      <c r="L2387" s="9"/>
      <c r="V2387" s="9"/>
      <c r="AF2387" s="9"/>
    </row>
    <row r="2388" spans="2:32" ht="15" x14ac:dyDescent="0.2">
      <c r="B2388" s="9"/>
      <c r="L2388" s="9"/>
      <c r="V2388" s="9"/>
      <c r="AF2388" s="9"/>
    </row>
    <row r="2389" spans="2:32" ht="15" x14ac:dyDescent="0.2">
      <c r="B2389" s="9"/>
      <c r="L2389" s="9"/>
      <c r="V2389" s="9"/>
      <c r="AF2389" s="9"/>
    </row>
    <row r="2390" spans="2:32" ht="15" x14ac:dyDescent="0.2">
      <c r="B2390" s="9"/>
      <c r="L2390" s="9"/>
      <c r="V2390" s="9"/>
      <c r="AF2390" s="9"/>
    </row>
    <row r="2391" spans="2:32" ht="15" x14ac:dyDescent="0.2">
      <c r="B2391" s="9"/>
      <c r="L2391" s="9"/>
      <c r="V2391" s="9"/>
      <c r="AF2391" s="9"/>
    </row>
    <row r="2392" spans="2:32" ht="15" x14ac:dyDescent="0.2">
      <c r="B2392" s="9"/>
      <c r="L2392" s="9"/>
      <c r="V2392" s="9"/>
      <c r="AF2392" s="9"/>
    </row>
    <row r="2393" spans="2:32" ht="15" x14ac:dyDescent="0.2">
      <c r="B2393" s="9"/>
      <c r="L2393" s="9"/>
      <c r="V2393" s="9"/>
      <c r="AF2393" s="9"/>
    </row>
    <row r="2394" spans="2:32" ht="15" x14ac:dyDescent="0.2">
      <c r="B2394" s="9"/>
      <c r="L2394" s="9"/>
      <c r="V2394" s="9"/>
      <c r="AF2394" s="9"/>
    </row>
    <row r="2395" spans="2:32" ht="15" x14ac:dyDescent="0.2">
      <c r="B2395" s="9"/>
      <c r="L2395" s="9"/>
      <c r="V2395" s="9"/>
      <c r="AF2395" s="9"/>
    </row>
    <row r="2396" spans="2:32" ht="15" x14ac:dyDescent="0.2">
      <c r="B2396" s="9"/>
      <c r="L2396" s="9"/>
      <c r="V2396" s="9"/>
      <c r="AF2396" s="9"/>
    </row>
    <row r="2397" spans="2:32" ht="15" x14ac:dyDescent="0.2">
      <c r="B2397" s="9"/>
      <c r="L2397" s="9"/>
      <c r="V2397" s="9"/>
      <c r="AF2397" s="9"/>
    </row>
    <row r="2398" spans="2:32" ht="15" x14ac:dyDescent="0.2">
      <c r="B2398" s="9"/>
      <c r="L2398" s="9"/>
      <c r="V2398" s="9"/>
      <c r="AF2398" s="9"/>
    </row>
    <row r="2399" spans="2:32" ht="15" x14ac:dyDescent="0.2">
      <c r="B2399" s="9"/>
      <c r="L2399" s="9"/>
      <c r="V2399" s="9"/>
      <c r="AF2399" s="9"/>
    </row>
    <row r="2400" spans="2:32" ht="15" x14ac:dyDescent="0.2">
      <c r="B2400" s="9"/>
      <c r="L2400" s="9"/>
      <c r="V2400" s="9"/>
      <c r="AF2400" s="9"/>
    </row>
    <row r="2401" spans="2:32" ht="15" x14ac:dyDescent="0.2">
      <c r="B2401" s="9"/>
      <c r="L2401" s="9"/>
      <c r="V2401" s="9"/>
      <c r="AF2401" s="9"/>
    </row>
    <row r="2402" spans="2:32" ht="15" x14ac:dyDescent="0.2">
      <c r="B2402" s="9"/>
      <c r="L2402" s="9"/>
      <c r="V2402" s="9"/>
      <c r="AF2402" s="9"/>
    </row>
    <row r="2403" spans="2:32" ht="15" x14ac:dyDescent="0.2">
      <c r="B2403" s="9"/>
      <c r="L2403" s="9"/>
      <c r="V2403" s="9"/>
      <c r="AF2403" s="9"/>
    </row>
    <row r="2404" spans="2:32" ht="15" x14ac:dyDescent="0.2">
      <c r="B2404" s="9"/>
      <c r="L2404" s="9"/>
      <c r="V2404" s="9"/>
      <c r="AF2404" s="9"/>
    </row>
    <row r="2405" spans="2:32" ht="15" x14ac:dyDescent="0.2">
      <c r="B2405" s="9"/>
      <c r="L2405" s="9"/>
      <c r="V2405" s="9"/>
      <c r="AF2405" s="9"/>
    </row>
    <row r="2406" spans="2:32" ht="15" x14ac:dyDescent="0.2">
      <c r="B2406" s="9"/>
      <c r="L2406" s="9"/>
      <c r="V2406" s="9"/>
      <c r="AF2406" s="9"/>
    </row>
    <row r="2407" spans="2:32" ht="15" x14ac:dyDescent="0.2">
      <c r="B2407" s="9"/>
      <c r="L2407" s="9"/>
      <c r="V2407" s="9"/>
      <c r="AF2407" s="9"/>
    </row>
    <row r="2408" spans="2:32" ht="15" x14ac:dyDescent="0.2">
      <c r="B2408" s="9"/>
      <c r="L2408" s="9"/>
      <c r="V2408" s="9"/>
      <c r="AF2408" s="9"/>
    </row>
    <row r="2409" spans="2:32" ht="15" x14ac:dyDescent="0.2">
      <c r="B2409" s="9"/>
      <c r="L2409" s="9"/>
      <c r="V2409" s="9"/>
      <c r="AF2409" s="9"/>
    </row>
    <row r="2410" spans="2:32" ht="15" x14ac:dyDescent="0.2">
      <c r="B2410" s="9"/>
      <c r="L2410" s="9"/>
      <c r="V2410" s="9"/>
      <c r="AF2410" s="9"/>
    </row>
    <row r="2411" spans="2:32" ht="15" x14ac:dyDescent="0.2">
      <c r="B2411" s="9"/>
      <c r="L2411" s="9"/>
      <c r="V2411" s="9"/>
      <c r="AF2411" s="9"/>
    </row>
    <row r="2412" spans="2:32" ht="15" x14ac:dyDescent="0.2">
      <c r="B2412" s="9"/>
      <c r="L2412" s="9"/>
      <c r="V2412" s="9"/>
      <c r="AF2412" s="9"/>
    </row>
    <row r="2413" spans="2:32" ht="15" x14ac:dyDescent="0.2">
      <c r="B2413" s="9"/>
      <c r="L2413" s="9"/>
      <c r="V2413" s="9"/>
      <c r="AF2413" s="9"/>
    </row>
    <row r="2414" spans="2:32" ht="15" x14ac:dyDescent="0.2">
      <c r="B2414" s="9"/>
      <c r="L2414" s="9"/>
      <c r="V2414" s="9"/>
      <c r="AF2414" s="9"/>
    </row>
    <row r="2415" spans="2:32" ht="15" x14ac:dyDescent="0.2">
      <c r="B2415" s="9"/>
      <c r="L2415" s="9"/>
      <c r="V2415" s="9"/>
      <c r="AF2415" s="9"/>
    </row>
    <row r="2416" spans="2:32" ht="15" x14ac:dyDescent="0.2">
      <c r="B2416" s="9"/>
      <c r="L2416" s="9"/>
      <c r="V2416" s="9"/>
      <c r="AF2416" s="9"/>
    </row>
    <row r="2417" spans="2:32" ht="15" x14ac:dyDescent="0.2">
      <c r="B2417" s="9"/>
      <c r="L2417" s="9"/>
      <c r="V2417" s="9"/>
      <c r="AF2417" s="9"/>
    </row>
    <row r="2418" spans="2:32" ht="15" x14ac:dyDescent="0.2">
      <c r="B2418" s="9"/>
      <c r="L2418" s="9"/>
      <c r="V2418" s="9"/>
      <c r="AF2418" s="9"/>
    </row>
    <row r="2419" spans="2:32" ht="15" x14ac:dyDescent="0.2">
      <c r="B2419" s="9"/>
      <c r="L2419" s="9"/>
      <c r="V2419" s="9"/>
      <c r="AF2419" s="9"/>
    </row>
    <row r="2420" spans="2:32" ht="15" x14ac:dyDescent="0.2">
      <c r="B2420" s="9"/>
      <c r="L2420" s="9"/>
      <c r="V2420" s="9"/>
      <c r="AF2420" s="9"/>
    </row>
    <row r="2421" spans="2:32" ht="15" x14ac:dyDescent="0.2">
      <c r="B2421" s="9"/>
      <c r="L2421" s="9"/>
      <c r="V2421" s="9"/>
      <c r="AF2421" s="9"/>
    </row>
    <row r="2422" spans="2:32" ht="15" x14ac:dyDescent="0.2">
      <c r="B2422" s="9"/>
      <c r="L2422" s="9"/>
      <c r="V2422" s="9"/>
      <c r="AF2422" s="9"/>
    </row>
    <row r="2423" spans="2:32" ht="15" x14ac:dyDescent="0.2">
      <c r="B2423" s="9"/>
      <c r="L2423" s="9"/>
      <c r="V2423" s="9"/>
      <c r="AF2423" s="9"/>
    </row>
    <row r="2424" spans="2:32" ht="15" x14ac:dyDescent="0.2">
      <c r="B2424" s="9"/>
      <c r="L2424" s="9"/>
      <c r="V2424" s="9"/>
      <c r="AF2424" s="9"/>
    </row>
    <row r="2425" spans="2:32" ht="15" x14ac:dyDescent="0.2">
      <c r="B2425" s="9"/>
      <c r="L2425" s="9"/>
      <c r="V2425" s="9"/>
      <c r="AF2425" s="9"/>
    </row>
    <row r="2426" spans="2:32" ht="15" x14ac:dyDescent="0.2">
      <c r="B2426" s="9"/>
      <c r="L2426" s="9"/>
      <c r="V2426" s="9"/>
      <c r="AF2426" s="9"/>
    </row>
    <row r="2427" spans="2:32" ht="15" x14ac:dyDescent="0.2">
      <c r="B2427" s="9"/>
      <c r="L2427" s="9"/>
      <c r="V2427" s="9"/>
      <c r="AF2427" s="9"/>
    </row>
    <row r="2428" spans="2:32" ht="15" x14ac:dyDescent="0.2">
      <c r="B2428" s="9"/>
      <c r="L2428" s="9"/>
      <c r="V2428" s="9"/>
      <c r="AF2428" s="9"/>
    </row>
    <row r="2429" spans="2:32" ht="15" x14ac:dyDescent="0.2">
      <c r="B2429" s="9"/>
      <c r="L2429" s="9"/>
      <c r="V2429" s="9"/>
      <c r="AF2429" s="9"/>
    </row>
    <row r="2430" spans="2:32" ht="15" x14ac:dyDescent="0.2">
      <c r="B2430" s="9"/>
      <c r="L2430" s="9"/>
      <c r="V2430" s="9"/>
      <c r="AF2430" s="9"/>
    </row>
    <row r="2431" spans="2:32" ht="15" x14ac:dyDescent="0.2">
      <c r="B2431" s="9"/>
      <c r="L2431" s="9"/>
      <c r="V2431" s="9"/>
      <c r="AF2431" s="9"/>
    </row>
    <row r="2432" spans="2:32" ht="15" x14ac:dyDescent="0.2">
      <c r="B2432" s="9"/>
      <c r="L2432" s="9"/>
      <c r="V2432" s="9"/>
      <c r="AF2432" s="9"/>
    </row>
    <row r="2433" spans="2:32" ht="15" x14ac:dyDescent="0.2">
      <c r="B2433" s="9"/>
      <c r="L2433" s="9"/>
      <c r="V2433" s="9"/>
      <c r="AF2433" s="9"/>
    </row>
    <row r="2434" spans="2:32" ht="15" x14ac:dyDescent="0.2">
      <c r="B2434" s="9"/>
      <c r="L2434" s="9"/>
      <c r="V2434" s="9"/>
      <c r="AF2434" s="9"/>
    </row>
    <row r="2435" spans="2:32" ht="15" x14ac:dyDescent="0.2">
      <c r="B2435" s="9"/>
      <c r="L2435" s="9"/>
      <c r="V2435" s="9"/>
      <c r="AF2435" s="9"/>
    </row>
    <row r="2436" spans="2:32" ht="15" x14ac:dyDescent="0.2">
      <c r="B2436" s="9"/>
      <c r="L2436" s="9"/>
      <c r="V2436" s="9"/>
      <c r="AF2436" s="9"/>
    </row>
    <row r="2437" spans="2:32" ht="15" x14ac:dyDescent="0.2">
      <c r="B2437" s="9"/>
      <c r="L2437" s="9"/>
      <c r="V2437" s="9"/>
      <c r="AF2437" s="9"/>
    </row>
    <row r="2438" spans="2:32" ht="15" x14ac:dyDescent="0.2">
      <c r="B2438" s="9"/>
      <c r="L2438" s="9"/>
      <c r="V2438" s="9"/>
      <c r="AF2438" s="9"/>
    </row>
    <row r="2439" spans="2:32" ht="15" x14ac:dyDescent="0.2">
      <c r="B2439" s="9"/>
      <c r="L2439" s="9"/>
      <c r="V2439" s="9"/>
      <c r="AF2439" s="9"/>
    </row>
    <row r="2440" spans="2:32" ht="15" x14ac:dyDescent="0.2">
      <c r="B2440" s="9"/>
      <c r="L2440" s="9"/>
      <c r="V2440" s="9"/>
      <c r="AF2440" s="9"/>
    </row>
    <row r="2441" spans="2:32" ht="15" x14ac:dyDescent="0.2">
      <c r="B2441" s="9"/>
      <c r="L2441" s="9"/>
      <c r="V2441" s="9"/>
      <c r="AF2441" s="9"/>
    </row>
    <row r="2442" spans="2:32" ht="15" x14ac:dyDescent="0.2">
      <c r="B2442" s="9"/>
      <c r="L2442" s="9"/>
      <c r="V2442" s="9"/>
      <c r="AF2442" s="9"/>
    </row>
    <row r="2443" spans="2:32" ht="15" x14ac:dyDescent="0.2">
      <c r="B2443" s="9"/>
      <c r="L2443" s="9"/>
      <c r="V2443" s="9"/>
      <c r="AF2443" s="9"/>
    </row>
    <row r="2444" spans="2:32" ht="15" x14ac:dyDescent="0.2">
      <c r="B2444" s="9"/>
      <c r="L2444" s="9"/>
      <c r="V2444" s="9"/>
      <c r="AF2444" s="9"/>
    </row>
    <row r="2445" spans="2:32" ht="15" x14ac:dyDescent="0.2">
      <c r="B2445" s="9"/>
      <c r="L2445" s="9"/>
      <c r="V2445" s="9"/>
      <c r="AF2445" s="9"/>
    </row>
    <row r="2446" spans="2:32" ht="15" x14ac:dyDescent="0.2">
      <c r="B2446" s="9"/>
      <c r="L2446" s="9"/>
      <c r="V2446" s="9"/>
      <c r="AF2446" s="9"/>
    </row>
    <row r="2447" spans="2:32" ht="15" x14ac:dyDescent="0.2">
      <c r="B2447" s="9"/>
      <c r="L2447" s="9"/>
      <c r="V2447" s="9"/>
      <c r="AF2447" s="9"/>
    </row>
    <row r="2448" spans="2:32" ht="15" x14ac:dyDescent="0.2">
      <c r="B2448" s="9"/>
      <c r="L2448" s="9"/>
      <c r="V2448" s="9"/>
      <c r="AF2448" s="9"/>
    </row>
    <row r="2449" spans="2:32" ht="15" x14ac:dyDescent="0.2">
      <c r="B2449" s="9"/>
      <c r="L2449" s="9"/>
      <c r="V2449" s="9"/>
      <c r="AF2449" s="9"/>
    </row>
    <row r="2450" spans="2:32" ht="15" x14ac:dyDescent="0.2">
      <c r="B2450" s="9"/>
      <c r="L2450" s="9"/>
      <c r="V2450" s="9"/>
      <c r="AF2450" s="9"/>
    </row>
    <row r="2451" spans="2:32" ht="15" x14ac:dyDescent="0.2">
      <c r="B2451" s="9"/>
      <c r="L2451" s="9"/>
      <c r="V2451" s="9"/>
      <c r="AF2451" s="9"/>
    </row>
    <row r="2452" spans="2:32" ht="15" x14ac:dyDescent="0.2">
      <c r="B2452" s="9"/>
      <c r="L2452" s="9"/>
      <c r="V2452" s="9"/>
      <c r="AF2452" s="9"/>
    </row>
    <row r="2453" spans="2:32" ht="15" x14ac:dyDescent="0.2">
      <c r="B2453" s="9"/>
      <c r="L2453" s="9"/>
      <c r="V2453" s="9"/>
      <c r="AF2453" s="9"/>
    </row>
    <row r="2454" spans="2:32" ht="15" x14ac:dyDescent="0.2">
      <c r="B2454" s="9"/>
      <c r="L2454" s="9"/>
      <c r="V2454" s="9"/>
      <c r="AF2454" s="9"/>
    </row>
    <row r="2455" spans="2:32" ht="15" x14ac:dyDescent="0.2">
      <c r="B2455" s="9"/>
      <c r="L2455" s="9"/>
      <c r="V2455" s="9"/>
      <c r="AF2455" s="9"/>
    </row>
    <row r="2456" spans="2:32" ht="15" x14ac:dyDescent="0.2">
      <c r="B2456" s="9"/>
      <c r="L2456" s="9"/>
      <c r="V2456" s="9"/>
      <c r="AF2456" s="9"/>
    </row>
    <row r="2457" spans="2:32" ht="15" x14ac:dyDescent="0.2">
      <c r="B2457" s="9"/>
      <c r="L2457" s="9"/>
      <c r="V2457" s="9"/>
      <c r="AF2457" s="9"/>
    </row>
    <row r="2458" spans="2:32" ht="15" x14ac:dyDescent="0.2">
      <c r="B2458" s="9"/>
      <c r="L2458" s="9"/>
      <c r="V2458" s="9"/>
      <c r="AF2458" s="9"/>
    </row>
    <row r="2459" spans="2:32" ht="15" x14ac:dyDescent="0.2">
      <c r="B2459" s="9"/>
      <c r="L2459" s="9"/>
      <c r="V2459" s="9"/>
      <c r="AF2459" s="9"/>
    </row>
    <row r="2460" spans="2:32" ht="15" x14ac:dyDescent="0.2">
      <c r="B2460" s="9"/>
      <c r="L2460" s="9"/>
      <c r="V2460" s="9"/>
      <c r="AF2460" s="9"/>
    </row>
    <row r="2461" spans="2:32" ht="15" x14ac:dyDescent="0.2">
      <c r="B2461" s="9"/>
      <c r="L2461" s="9"/>
      <c r="V2461" s="9"/>
      <c r="AF2461" s="9"/>
    </row>
    <row r="2462" spans="2:32" ht="15" x14ac:dyDescent="0.2">
      <c r="B2462" s="9"/>
      <c r="L2462" s="9"/>
      <c r="V2462" s="9"/>
      <c r="AF2462" s="9"/>
    </row>
    <row r="2463" spans="2:32" ht="15" x14ac:dyDescent="0.2">
      <c r="B2463" s="9"/>
      <c r="L2463" s="9"/>
      <c r="V2463" s="9"/>
      <c r="AF2463" s="9"/>
    </row>
    <row r="2464" spans="2:32" ht="15" x14ac:dyDescent="0.2">
      <c r="B2464" s="9"/>
      <c r="L2464" s="9"/>
      <c r="V2464" s="9"/>
      <c r="AF2464" s="9"/>
    </row>
    <row r="2465" spans="2:32" ht="15" x14ac:dyDescent="0.2">
      <c r="B2465" s="9"/>
      <c r="L2465" s="9"/>
      <c r="V2465" s="9"/>
      <c r="AF2465" s="9"/>
    </row>
    <row r="2466" spans="2:32" ht="15" x14ac:dyDescent="0.2">
      <c r="B2466" s="9"/>
      <c r="L2466" s="9"/>
      <c r="V2466" s="9"/>
      <c r="AF2466" s="9"/>
    </row>
    <row r="2467" spans="2:32" ht="15" x14ac:dyDescent="0.2">
      <c r="B2467" s="9"/>
      <c r="L2467" s="9"/>
      <c r="V2467" s="9"/>
      <c r="AF2467" s="9"/>
    </row>
    <row r="2468" spans="2:32" ht="15" x14ac:dyDescent="0.2">
      <c r="B2468" s="9"/>
      <c r="L2468" s="9"/>
      <c r="V2468" s="9"/>
      <c r="AF2468" s="9"/>
    </row>
    <row r="2469" spans="2:32" ht="15" x14ac:dyDescent="0.2">
      <c r="B2469" s="9"/>
      <c r="L2469" s="9"/>
      <c r="V2469" s="9"/>
      <c r="AF2469" s="9"/>
    </row>
    <row r="2470" spans="2:32" ht="15" x14ac:dyDescent="0.2">
      <c r="B2470" s="9"/>
      <c r="L2470" s="9"/>
      <c r="V2470" s="9"/>
      <c r="AF2470" s="9"/>
    </row>
    <row r="2471" spans="2:32" ht="15" x14ac:dyDescent="0.2">
      <c r="B2471" s="9"/>
      <c r="L2471" s="9"/>
      <c r="V2471" s="9"/>
      <c r="AF2471" s="9"/>
    </row>
    <row r="2472" spans="2:32" ht="15" x14ac:dyDescent="0.2">
      <c r="B2472" s="9"/>
      <c r="L2472" s="9"/>
      <c r="V2472" s="9"/>
      <c r="AF2472" s="9"/>
    </row>
    <row r="2473" spans="2:32" ht="15" x14ac:dyDescent="0.2">
      <c r="B2473" s="9"/>
      <c r="L2473" s="9"/>
      <c r="V2473" s="9"/>
      <c r="AF2473" s="9"/>
    </row>
    <row r="2474" spans="2:32" ht="15" x14ac:dyDescent="0.2">
      <c r="B2474" s="9"/>
      <c r="L2474" s="9"/>
      <c r="V2474" s="9"/>
      <c r="AF2474" s="9"/>
    </row>
    <row r="2475" spans="2:32" ht="15" x14ac:dyDescent="0.2">
      <c r="B2475" s="9"/>
      <c r="L2475" s="9"/>
      <c r="V2475" s="9"/>
      <c r="AF2475" s="9"/>
    </row>
    <row r="2476" spans="2:32" ht="15" x14ac:dyDescent="0.2">
      <c r="B2476" s="9"/>
      <c r="L2476" s="9"/>
      <c r="V2476" s="9"/>
      <c r="AF2476" s="9"/>
    </row>
    <row r="2477" spans="2:32" ht="15" x14ac:dyDescent="0.2">
      <c r="B2477" s="9"/>
      <c r="L2477" s="9"/>
      <c r="V2477" s="9"/>
      <c r="AF2477" s="9"/>
    </row>
    <row r="2478" spans="2:32" ht="15" x14ac:dyDescent="0.2">
      <c r="B2478" s="9"/>
      <c r="L2478" s="9"/>
      <c r="V2478" s="9"/>
      <c r="AF2478" s="9"/>
    </row>
    <row r="2479" spans="2:32" ht="15" x14ac:dyDescent="0.2">
      <c r="B2479" s="9"/>
      <c r="L2479" s="9"/>
      <c r="V2479" s="9"/>
      <c r="AF2479" s="9"/>
    </row>
    <row r="2480" spans="2:32" ht="15" x14ac:dyDescent="0.2">
      <c r="B2480" s="9"/>
      <c r="L2480" s="9"/>
      <c r="V2480" s="9"/>
      <c r="AF2480" s="9"/>
    </row>
    <row r="2481" spans="2:32" ht="15" x14ac:dyDescent="0.2">
      <c r="B2481" s="9"/>
      <c r="L2481" s="9"/>
      <c r="V2481" s="9"/>
      <c r="AF2481" s="9"/>
    </row>
    <row r="2482" spans="2:32" ht="15" x14ac:dyDescent="0.2">
      <c r="B2482" s="9"/>
      <c r="L2482" s="9"/>
      <c r="V2482" s="9"/>
      <c r="AF2482" s="9"/>
    </row>
    <row r="2483" spans="2:32" ht="15" x14ac:dyDescent="0.2">
      <c r="B2483" s="9"/>
      <c r="L2483" s="9"/>
      <c r="V2483" s="9"/>
      <c r="AF2483" s="9"/>
    </row>
    <row r="2484" spans="2:32" ht="15" x14ac:dyDescent="0.2">
      <c r="B2484" s="9"/>
      <c r="L2484" s="9"/>
      <c r="V2484" s="9"/>
      <c r="AF2484" s="9"/>
    </row>
    <row r="2485" spans="2:32" ht="15" x14ac:dyDescent="0.2">
      <c r="B2485" s="9"/>
      <c r="L2485" s="9"/>
      <c r="V2485" s="9"/>
      <c r="AF2485" s="9"/>
    </row>
    <row r="2486" spans="2:32" ht="15" x14ac:dyDescent="0.2">
      <c r="B2486" s="9"/>
      <c r="L2486" s="9"/>
      <c r="V2486" s="9"/>
      <c r="AF2486" s="9"/>
    </row>
    <row r="2487" spans="2:32" ht="15" x14ac:dyDescent="0.2">
      <c r="B2487" s="9"/>
      <c r="L2487" s="9"/>
      <c r="V2487" s="9"/>
      <c r="AF2487" s="9"/>
    </row>
    <row r="2488" spans="2:32" ht="15" x14ac:dyDescent="0.2">
      <c r="B2488" s="9"/>
      <c r="L2488" s="9"/>
      <c r="V2488" s="9"/>
      <c r="AF2488" s="9"/>
    </row>
    <row r="2489" spans="2:32" ht="15" x14ac:dyDescent="0.2">
      <c r="B2489" s="9"/>
      <c r="L2489" s="9"/>
      <c r="V2489" s="9"/>
      <c r="AF2489" s="9"/>
    </row>
    <row r="2490" spans="2:32" ht="15" x14ac:dyDescent="0.2">
      <c r="B2490" s="9"/>
      <c r="L2490" s="9"/>
      <c r="V2490" s="9"/>
      <c r="AF2490" s="9"/>
    </row>
    <row r="2491" spans="2:32" ht="15" x14ac:dyDescent="0.2">
      <c r="B2491" s="9"/>
      <c r="L2491" s="9"/>
      <c r="V2491" s="9"/>
      <c r="AF2491" s="9"/>
    </row>
    <row r="2492" spans="2:32" ht="15" x14ac:dyDescent="0.2">
      <c r="B2492" s="9"/>
      <c r="L2492" s="9"/>
      <c r="V2492" s="9"/>
      <c r="AF2492" s="9"/>
    </row>
    <row r="2493" spans="2:32" ht="15" x14ac:dyDescent="0.2">
      <c r="B2493" s="9"/>
      <c r="L2493" s="9"/>
      <c r="V2493" s="9"/>
      <c r="AF2493" s="9"/>
    </row>
    <row r="2494" spans="2:32" ht="15" x14ac:dyDescent="0.2">
      <c r="B2494" s="9"/>
      <c r="L2494" s="9"/>
      <c r="V2494" s="9"/>
      <c r="AF2494" s="9"/>
    </row>
    <row r="2495" spans="2:32" ht="15" x14ac:dyDescent="0.2">
      <c r="B2495" s="9"/>
      <c r="L2495" s="9"/>
      <c r="V2495" s="9"/>
      <c r="AF2495" s="9"/>
    </row>
    <row r="2496" spans="2:32" ht="15" x14ac:dyDescent="0.2">
      <c r="B2496" s="9"/>
      <c r="L2496" s="9"/>
      <c r="V2496" s="9"/>
      <c r="AF2496" s="9"/>
    </row>
    <row r="2497" spans="2:32" ht="15" x14ac:dyDescent="0.2">
      <c r="B2497" s="9"/>
      <c r="L2497" s="9"/>
      <c r="V2497" s="9"/>
      <c r="AF2497" s="9"/>
    </row>
    <row r="2498" spans="2:32" ht="15" x14ac:dyDescent="0.2">
      <c r="B2498" s="9"/>
      <c r="L2498" s="9"/>
      <c r="V2498" s="9"/>
      <c r="AF2498" s="9"/>
    </row>
    <row r="2499" spans="2:32" ht="15" x14ac:dyDescent="0.2">
      <c r="B2499" s="9"/>
      <c r="L2499" s="9"/>
      <c r="V2499" s="9"/>
      <c r="AF2499" s="9"/>
    </row>
    <row r="2500" spans="2:32" ht="15" x14ac:dyDescent="0.2">
      <c r="B2500" s="9"/>
      <c r="L2500" s="9"/>
      <c r="V2500" s="9"/>
      <c r="AF2500" s="9"/>
    </row>
    <row r="2501" spans="2:32" ht="15" x14ac:dyDescent="0.2">
      <c r="B2501" s="9"/>
      <c r="L2501" s="9"/>
      <c r="V2501" s="9"/>
      <c r="AF2501" s="9"/>
    </row>
    <row r="2502" spans="2:32" ht="15" x14ac:dyDescent="0.2">
      <c r="B2502" s="9"/>
      <c r="L2502" s="9"/>
      <c r="V2502" s="9"/>
      <c r="AF2502" s="9"/>
    </row>
    <row r="2503" spans="2:32" ht="15" x14ac:dyDescent="0.2">
      <c r="B2503" s="9"/>
      <c r="L2503" s="9"/>
      <c r="V2503" s="9"/>
      <c r="AF2503" s="9"/>
    </row>
    <row r="2504" spans="2:32" ht="15" x14ac:dyDescent="0.2">
      <c r="B2504" s="9"/>
      <c r="L2504" s="9"/>
      <c r="V2504" s="9"/>
      <c r="AF2504" s="9"/>
    </row>
    <row r="2505" spans="2:32" ht="15" x14ac:dyDescent="0.2">
      <c r="B2505" s="9"/>
      <c r="L2505" s="9"/>
      <c r="V2505" s="9"/>
      <c r="AF2505" s="9"/>
    </row>
    <row r="2506" spans="2:32" ht="15" x14ac:dyDescent="0.2">
      <c r="B2506" s="9"/>
      <c r="L2506" s="9"/>
      <c r="V2506" s="9"/>
      <c r="AF2506" s="9"/>
    </row>
    <row r="2507" spans="2:32" ht="15" x14ac:dyDescent="0.2">
      <c r="B2507" s="9"/>
      <c r="L2507" s="9"/>
      <c r="V2507" s="9"/>
      <c r="AF2507" s="9"/>
    </row>
    <row r="2508" spans="2:32" ht="15" x14ac:dyDescent="0.2">
      <c r="B2508" s="9"/>
      <c r="L2508" s="9"/>
      <c r="V2508" s="9"/>
      <c r="AF2508" s="9"/>
    </row>
    <row r="2509" spans="2:32" ht="15" x14ac:dyDescent="0.2">
      <c r="B2509" s="9"/>
      <c r="L2509" s="9"/>
      <c r="V2509" s="9"/>
      <c r="AF2509" s="9"/>
    </row>
    <row r="2510" spans="2:32" ht="15" x14ac:dyDescent="0.2">
      <c r="B2510" s="9"/>
      <c r="L2510" s="9"/>
      <c r="V2510" s="9"/>
      <c r="AF2510" s="9"/>
    </row>
    <row r="2511" spans="2:32" ht="15" x14ac:dyDescent="0.2">
      <c r="B2511" s="9"/>
      <c r="L2511" s="9"/>
      <c r="V2511" s="9"/>
      <c r="AF2511" s="9"/>
    </row>
    <row r="2512" spans="2:32" ht="15" x14ac:dyDescent="0.2">
      <c r="B2512" s="9"/>
      <c r="L2512" s="9"/>
      <c r="V2512" s="9"/>
      <c r="AF2512" s="9"/>
    </row>
    <row r="2513" spans="2:32" ht="15" x14ac:dyDescent="0.2">
      <c r="B2513" s="9"/>
      <c r="L2513" s="9"/>
      <c r="V2513" s="9"/>
      <c r="AF2513" s="9"/>
    </row>
    <row r="2514" spans="2:32" ht="15" x14ac:dyDescent="0.2">
      <c r="B2514" s="9"/>
      <c r="L2514" s="9"/>
      <c r="V2514" s="9"/>
      <c r="AF2514" s="9"/>
    </row>
    <row r="2515" spans="2:32" ht="15" x14ac:dyDescent="0.2">
      <c r="B2515" s="9"/>
      <c r="L2515" s="9"/>
      <c r="V2515" s="9"/>
      <c r="AF2515" s="9"/>
    </row>
    <row r="2516" spans="2:32" ht="15" x14ac:dyDescent="0.2">
      <c r="B2516" s="9"/>
      <c r="L2516" s="9"/>
      <c r="V2516" s="9"/>
      <c r="AF2516" s="9"/>
    </row>
    <row r="2517" spans="2:32" ht="15" x14ac:dyDescent="0.2">
      <c r="B2517" s="9"/>
      <c r="L2517" s="9"/>
      <c r="V2517" s="9"/>
      <c r="AF2517" s="9"/>
    </row>
    <row r="2518" spans="2:32" ht="15" x14ac:dyDescent="0.2">
      <c r="B2518" s="9"/>
      <c r="L2518" s="9"/>
      <c r="V2518" s="9"/>
      <c r="AF2518" s="9"/>
    </row>
    <row r="2519" spans="2:32" ht="15" x14ac:dyDescent="0.2">
      <c r="B2519" s="9"/>
      <c r="L2519" s="9"/>
      <c r="V2519" s="9"/>
      <c r="AF2519" s="9"/>
    </row>
    <row r="2520" spans="2:32" ht="15" x14ac:dyDescent="0.2">
      <c r="B2520" s="9"/>
      <c r="L2520" s="9"/>
      <c r="V2520" s="9"/>
      <c r="AF2520" s="9"/>
    </row>
    <row r="2521" spans="2:32" ht="15" x14ac:dyDescent="0.2">
      <c r="B2521" s="9"/>
      <c r="L2521" s="9"/>
      <c r="V2521" s="9"/>
      <c r="AF2521" s="9"/>
    </row>
    <row r="2522" spans="2:32" ht="15" x14ac:dyDescent="0.2">
      <c r="B2522" s="9"/>
      <c r="L2522" s="9"/>
      <c r="V2522" s="9"/>
      <c r="AF2522" s="9"/>
    </row>
    <row r="2523" spans="2:32" ht="15" x14ac:dyDescent="0.2">
      <c r="B2523" s="9"/>
      <c r="L2523" s="9"/>
      <c r="V2523" s="9"/>
      <c r="AF2523" s="9"/>
    </row>
    <row r="2524" spans="2:32" ht="15" x14ac:dyDescent="0.2">
      <c r="B2524" s="9"/>
      <c r="L2524" s="9"/>
      <c r="V2524" s="9"/>
      <c r="AF2524" s="9"/>
    </row>
    <row r="2525" spans="2:32" ht="15" x14ac:dyDescent="0.2">
      <c r="B2525" s="9"/>
      <c r="L2525" s="9"/>
      <c r="V2525" s="9"/>
      <c r="AF2525" s="9"/>
    </row>
    <row r="2526" spans="2:32" ht="15" x14ac:dyDescent="0.2">
      <c r="B2526" s="9"/>
      <c r="L2526" s="9"/>
      <c r="V2526" s="9"/>
      <c r="AF2526" s="9"/>
    </row>
    <row r="2527" spans="2:32" ht="15" x14ac:dyDescent="0.2">
      <c r="B2527" s="9"/>
      <c r="L2527" s="9"/>
      <c r="V2527" s="9"/>
      <c r="AF2527" s="9"/>
    </row>
    <row r="2528" spans="2:32" ht="15" x14ac:dyDescent="0.2">
      <c r="B2528" s="9"/>
      <c r="L2528" s="9"/>
      <c r="V2528" s="9"/>
      <c r="AF2528" s="9"/>
    </row>
    <row r="2529" spans="2:32" ht="15" x14ac:dyDescent="0.2">
      <c r="B2529" s="9"/>
      <c r="L2529" s="9"/>
      <c r="V2529" s="9"/>
      <c r="AF2529" s="9"/>
    </row>
    <row r="2530" spans="2:32" ht="15" x14ac:dyDescent="0.2">
      <c r="B2530" s="9"/>
      <c r="L2530" s="9"/>
      <c r="V2530" s="9"/>
      <c r="AF2530" s="9"/>
    </row>
    <row r="2531" spans="2:32" ht="15" x14ac:dyDescent="0.2">
      <c r="B2531" s="9"/>
      <c r="L2531" s="9"/>
      <c r="V2531" s="9"/>
      <c r="AF2531" s="9"/>
    </row>
    <row r="2532" spans="2:32" ht="15" x14ac:dyDescent="0.2">
      <c r="B2532" s="9"/>
      <c r="L2532" s="9"/>
      <c r="V2532" s="9"/>
      <c r="AF2532" s="9"/>
    </row>
    <row r="2533" spans="2:32" ht="15" x14ac:dyDescent="0.2">
      <c r="B2533" s="9"/>
      <c r="L2533" s="9"/>
      <c r="V2533" s="9"/>
      <c r="AF2533" s="9"/>
    </row>
    <row r="2534" spans="2:32" ht="15" x14ac:dyDescent="0.2">
      <c r="B2534" s="9"/>
      <c r="L2534" s="9"/>
      <c r="V2534" s="9"/>
      <c r="AF2534" s="9"/>
    </row>
    <row r="2535" spans="2:32" ht="15" x14ac:dyDescent="0.2">
      <c r="B2535" s="9"/>
      <c r="L2535" s="9"/>
      <c r="V2535" s="9"/>
      <c r="AF2535" s="9"/>
    </row>
    <row r="2536" spans="2:32" ht="15" x14ac:dyDescent="0.2">
      <c r="B2536" s="9"/>
      <c r="L2536" s="9"/>
      <c r="V2536" s="9"/>
      <c r="AF2536" s="9"/>
    </row>
    <row r="2537" spans="2:32" ht="15" x14ac:dyDescent="0.2">
      <c r="B2537" s="9"/>
      <c r="L2537" s="9"/>
      <c r="V2537" s="9"/>
      <c r="AF2537" s="9"/>
    </row>
    <row r="2538" spans="2:32" ht="15" x14ac:dyDescent="0.2">
      <c r="B2538" s="9"/>
      <c r="L2538" s="9"/>
      <c r="V2538" s="9"/>
      <c r="AF2538" s="9"/>
    </row>
    <row r="2539" spans="2:32" ht="15" x14ac:dyDescent="0.2">
      <c r="B2539" s="9"/>
      <c r="L2539" s="9"/>
      <c r="V2539" s="9"/>
      <c r="AF2539" s="9"/>
    </row>
    <row r="2540" spans="2:32" ht="15" x14ac:dyDescent="0.2">
      <c r="B2540" s="9"/>
      <c r="L2540" s="9"/>
      <c r="V2540" s="9"/>
      <c r="AF2540" s="9"/>
    </row>
    <row r="2541" spans="2:32" ht="15" x14ac:dyDescent="0.2">
      <c r="B2541" s="9"/>
      <c r="L2541" s="9"/>
      <c r="V2541" s="9"/>
      <c r="AF2541" s="9"/>
    </row>
    <row r="2542" spans="2:32" ht="15" x14ac:dyDescent="0.2">
      <c r="B2542" s="9"/>
      <c r="L2542" s="9"/>
      <c r="V2542" s="9"/>
      <c r="AF2542" s="9"/>
    </row>
    <row r="2543" spans="2:32" ht="15" x14ac:dyDescent="0.2">
      <c r="B2543" s="9"/>
      <c r="L2543" s="9"/>
      <c r="V2543" s="9"/>
      <c r="AF2543" s="9"/>
    </row>
    <row r="2544" spans="2:32" ht="15" x14ac:dyDescent="0.2">
      <c r="B2544" s="9"/>
      <c r="L2544" s="9"/>
      <c r="V2544" s="9"/>
      <c r="AF2544" s="9"/>
    </row>
    <row r="2545" spans="2:32" ht="15" x14ac:dyDescent="0.2">
      <c r="B2545" s="9"/>
      <c r="L2545" s="9"/>
      <c r="V2545" s="9"/>
      <c r="AF2545" s="9"/>
    </row>
    <row r="2546" spans="2:32" ht="15" x14ac:dyDescent="0.2">
      <c r="B2546" s="9"/>
      <c r="L2546" s="9"/>
      <c r="V2546" s="9"/>
      <c r="AF2546" s="9"/>
    </row>
    <row r="2547" spans="2:32" ht="15" x14ac:dyDescent="0.2">
      <c r="B2547" s="9"/>
      <c r="L2547" s="9"/>
      <c r="V2547" s="9"/>
      <c r="AF2547" s="9"/>
    </row>
    <row r="2548" spans="2:32" ht="15" x14ac:dyDescent="0.2">
      <c r="B2548" s="9"/>
      <c r="L2548" s="9"/>
      <c r="V2548" s="9"/>
      <c r="AF2548" s="9"/>
    </row>
    <row r="2549" spans="2:32" ht="15" x14ac:dyDescent="0.2">
      <c r="B2549" s="9"/>
      <c r="L2549" s="9"/>
      <c r="V2549" s="9"/>
      <c r="AF2549" s="9"/>
    </row>
    <row r="2550" spans="2:32" ht="15" x14ac:dyDescent="0.2">
      <c r="B2550" s="9"/>
      <c r="L2550" s="9"/>
      <c r="V2550" s="9"/>
      <c r="AF2550" s="9"/>
    </row>
    <row r="2551" spans="2:32" ht="15" x14ac:dyDescent="0.2">
      <c r="B2551" s="9"/>
      <c r="L2551" s="9"/>
      <c r="V2551" s="9"/>
      <c r="AF2551" s="9"/>
    </row>
    <row r="2552" spans="2:32" ht="15" x14ac:dyDescent="0.2">
      <c r="B2552" s="9"/>
      <c r="L2552" s="9"/>
      <c r="V2552" s="9"/>
      <c r="AF2552" s="9"/>
    </row>
    <row r="2553" spans="2:32" ht="15" x14ac:dyDescent="0.2">
      <c r="B2553" s="9"/>
      <c r="L2553" s="9"/>
      <c r="V2553" s="9"/>
      <c r="AF2553" s="9"/>
    </row>
    <row r="2554" spans="2:32" ht="15" x14ac:dyDescent="0.2">
      <c r="B2554" s="9"/>
      <c r="L2554" s="9"/>
      <c r="V2554" s="9"/>
      <c r="AF2554" s="9"/>
    </row>
    <row r="2555" spans="2:32" ht="15" x14ac:dyDescent="0.2">
      <c r="B2555" s="9"/>
      <c r="L2555" s="9"/>
      <c r="V2555" s="9"/>
      <c r="AF2555" s="9"/>
    </row>
    <row r="2556" spans="2:32" ht="15" x14ac:dyDescent="0.2">
      <c r="B2556" s="9"/>
      <c r="L2556" s="9"/>
      <c r="V2556" s="9"/>
      <c r="AF2556" s="9"/>
    </row>
    <row r="2557" spans="2:32" ht="15" x14ac:dyDescent="0.2">
      <c r="B2557" s="9"/>
      <c r="L2557" s="9"/>
      <c r="V2557" s="9"/>
      <c r="AF2557" s="9"/>
    </row>
    <row r="2558" spans="2:32" ht="15" x14ac:dyDescent="0.2">
      <c r="B2558" s="9"/>
      <c r="L2558" s="9"/>
      <c r="V2558" s="9"/>
      <c r="AF2558" s="9"/>
    </row>
    <row r="2559" spans="2:32" ht="15" x14ac:dyDescent="0.2">
      <c r="B2559" s="9"/>
      <c r="L2559" s="9"/>
      <c r="V2559" s="9"/>
      <c r="AF2559" s="9"/>
    </row>
    <row r="2560" spans="2:32" ht="15" x14ac:dyDescent="0.2">
      <c r="B2560" s="9"/>
      <c r="L2560" s="9"/>
      <c r="V2560" s="9"/>
      <c r="AF2560" s="9"/>
    </row>
    <row r="2561" spans="2:32" ht="15" x14ac:dyDescent="0.2">
      <c r="B2561" s="9"/>
      <c r="L2561" s="9"/>
      <c r="V2561" s="9"/>
      <c r="AF2561" s="9"/>
    </row>
    <row r="2562" spans="2:32" ht="15" x14ac:dyDescent="0.2">
      <c r="B2562" s="9"/>
      <c r="L2562" s="9"/>
      <c r="V2562" s="9"/>
      <c r="AF2562" s="9"/>
    </row>
    <row r="2563" spans="2:32" ht="15" x14ac:dyDescent="0.2">
      <c r="B2563" s="9"/>
      <c r="L2563" s="9"/>
      <c r="V2563" s="9"/>
      <c r="AF2563" s="9"/>
    </row>
    <row r="2564" spans="2:32" ht="15" x14ac:dyDescent="0.2">
      <c r="B2564" s="9"/>
      <c r="L2564" s="9"/>
      <c r="V2564" s="9"/>
      <c r="AF2564" s="9"/>
    </row>
    <row r="2565" spans="2:32" ht="15" x14ac:dyDescent="0.2">
      <c r="B2565" s="9"/>
      <c r="L2565" s="9"/>
      <c r="V2565" s="9"/>
      <c r="AF2565" s="9"/>
    </row>
    <row r="2566" spans="2:32" ht="15" x14ac:dyDescent="0.2">
      <c r="B2566" s="9"/>
      <c r="L2566" s="9"/>
      <c r="V2566" s="9"/>
      <c r="AF2566" s="9"/>
    </row>
    <row r="2567" spans="2:32" ht="15" x14ac:dyDescent="0.2">
      <c r="B2567" s="9"/>
      <c r="L2567" s="9"/>
      <c r="V2567" s="9"/>
      <c r="AF2567" s="9"/>
    </row>
    <row r="2568" spans="2:32" ht="15" x14ac:dyDescent="0.2">
      <c r="B2568" s="9"/>
      <c r="L2568" s="9"/>
      <c r="V2568" s="9"/>
      <c r="AF2568" s="9"/>
    </row>
    <row r="2569" spans="2:32" ht="15" x14ac:dyDescent="0.2">
      <c r="B2569" s="9"/>
      <c r="L2569" s="9"/>
      <c r="V2569" s="9"/>
      <c r="AF2569" s="9"/>
    </row>
    <row r="2570" spans="2:32" ht="15" x14ac:dyDescent="0.2">
      <c r="B2570" s="9"/>
      <c r="L2570" s="9"/>
      <c r="V2570" s="9"/>
      <c r="AF2570" s="9"/>
    </row>
    <row r="2571" spans="2:32" ht="15" x14ac:dyDescent="0.2">
      <c r="B2571" s="9"/>
      <c r="L2571" s="9"/>
      <c r="V2571" s="9"/>
      <c r="AF2571" s="9"/>
    </row>
    <row r="2572" spans="2:32" ht="15" x14ac:dyDescent="0.2">
      <c r="B2572" s="9"/>
      <c r="L2572" s="9"/>
      <c r="V2572" s="9"/>
      <c r="AF2572" s="9"/>
    </row>
    <row r="2573" spans="2:32" ht="15" x14ac:dyDescent="0.2">
      <c r="B2573" s="9"/>
      <c r="L2573" s="9"/>
      <c r="V2573" s="9"/>
      <c r="AF2573" s="9"/>
    </row>
    <row r="2574" spans="2:32" ht="15" x14ac:dyDescent="0.2">
      <c r="B2574" s="9"/>
      <c r="L2574" s="9"/>
      <c r="V2574" s="9"/>
      <c r="AF2574" s="9"/>
    </row>
    <row r="2575" spans="2:32" ht="15" x14ac:dyDescent="0.2">
      <c r="B2575" s="9"/>
      <c r="L2575" s="9"/>
      <c r="V2575" s="9"/>
      <c r="AF2575" s="9"/>
    </row>
    <row r="2576" spans="2:32" ht="15" x14ac:dyDescent="0.2">
      <c r="B2576" s="9"/>
      <c r="L2576" s="9"/>
      <c r="V2576" s="9"/>
      <c r="AF2576" s="9"/>
    </row>
    <row r="2577" spans="2:32" ht="15" x14ac:dyDescent="0.2">
      <c r="B2577" s="9"/>
      <c r="L2577" s="9"/>
      <c r="V2577" s="9"/>
      <c r="AF2577" s="9"/>
    </row>
    <row r="2578" spans="2:32" ht="15" x14ac:dyDescent="0.2">
      <c r="B2578" s="9"/>
      <c r="L2578" s="9"/>
      <c r="V2578" s="9"/>
      <c r="AF2578" s="9"/>
    </row>
    <row r="2579" spans="2:32" ht="15" x14ac:dyDescent="0.2">
      <c r="B2579" s="9"/>
      <c r="L2579" s="9"/>
      <c r="V2579" s="9"/>
      <c r="AF2579" s="9"/>
    </row>
    <row r="2580" spans="2:32" ht="15" x14ac:dyDescent="0.2">
      <c r="B2580" s="9"/>
      <c r="L2580" s="9"/>
      <c r="V2580" s="9"/>
      <c r="AF2580" s="9"/>
    </row>
    <row r="2581" spans="2:32" ht="15" x14ac:dyDescent="0.2">
      <c r="B2581" s="9"/>
      <c r="L2581" s="9"/>
      <c r="V2581" s="9"/>
      <c r="AF2581" s="9"/>
    </row>
    <row r="2582" spans="2:32" ht="15" x14ac:dyDescent="0.2">
      <c r="B2582" s="9"/>
      <c r="L2582" s="9"/>
      <c r="V2582" s="9"/>
      <c r="AF2582" s="9"/>
    </row>
    <row r="2583" spans="2:32" ht="15" x14ac:dyDescent="0.2">
      <c r="B2583" s="9"/>
      <c r="L2583" s="9"/>
      <c r="V2583" s="9"/>
      <c r="AF2583" s="9"/>
    </row>
    <row r="2584" spans="2:32" ht="15" x14ac:dyDescent="0.2">
      <c r="B2584" s="9"/>
      <c r="L2584" s="9"/>
      <c r="V2584" s="9"/>
      <c r="AF2584" s="9"/>
    </row>
    <row r="2585" spans="2:32" ht="15" x14ac:dyDescent="0.2">
      <c r="B2585" s="9"/>
      <c r="L2585" s="9"/>
      <c r="V2585" s="9"/>
      <c r="AF2585" s="9"/>
    </row>
    <row r="2586" spans="2:32" ht="15" x14ac:dyDescent="0.2">
      <c r="B2586" s="9"/>
      <c r="L2586" s="9"/>
      <c r="V2586" s="9"/>
      <c r="AF2586" s="9"/>
    </row>
    <row r="2587" spans="2:32" ht="15" x14ac:dyDescent="0.2">
      <c r="B2587" s="9"/>
      <c r="L2587" s="9"/>
      <c r="V2587" s="9"/>
      <c r="AF2587" s="9"/>
    </row>
    <row r="2588" spans="2:32" ht="15" x14ac:dyDescent="0.2">
      <c r="B2588" s="9"/>
      <c r="L2588" s="9"/>
      <c r="V2588" s="9"/>
      <c r="AF2588" s="9"/>
    </row>
    <row r="2589" spans="2:32" ht="15" x14ac:dyDescent="0.2">
      <c r="B2589" s="9"/>
      <c r="L2589" s="9"/>
      <c r="V2589" s="9"/>
      <c r="AF2589" s="9"/>
    </row>
    <row r="2590" spans="2:32" ht="15" x14ac:dyDescent="0.2">
      <c r="B2590" s="9"/>
      <c r="L2590" s="9"/>
      <c r="V2590" s="9"/>
      <c r="AF2590" s="9"/>
    </row>
    <row r="2591" spans="2:32" ht="15" x14ac:dyDescent="0.2">
      <c r="B2591" s="9"/>
      <c r="L2591" s="9"/>
      <c r="V2591" s="9"/>
      <c r="AF2591" s="9"/>
    </row>
    <row r="2592" spans="2:32" ht="15" x14ac:dyDescent="0.2">
      <c r="B2592" s="9"/>
      <c r="L2592" s="9"/>
      <c r="V2592" s="9"/>
      <c r="AF2592" s="9"/>
    </row>
    <row r="2593" spans="2:32" ht="15" x14ac:dyDescent="0.2">
      <c r="B2593" s="9"/>
      <c r="L2593" s="9"/>
      <c r="V2593" s="9"/>
      <c r="AF2593" s="9"/>
    </row>
    <row r="2594" spans="2:32" ht="15" x14ac:dyDescent="0.2">
      <c r="B2594" s="9"/>
      <c r="L2594" s="9"/>
      <c r="V2594" s="9"/>
      <c r="AF2594" s="9"/>
    </row>
    <row r="2595" spans="2:32" ht="15" x14ac:dyDescent="0.2">
      <c r="B2595" s="9"/>
      <c r="L2595" s="9"/>
      <c r="V2595" s="9"/>
      <c r="AF2595" s="9"/>
    </row>
    <row r="2596" spans="2:32" ht="15" x14ac:dyDescent="0.2">
      <c r="B2596" s="9"/>
      <c r="L2596" s="9"/>
      <c r="V2596" s="9"/>
      <c r="AF2596" s="9"/>
    </row>
    <row r="2597" spans="2:32" ht="15" x14ac:dyDescent="0.2">
      <c r="B2597" s="9"/>
      <c r="L2597" s="9"/>
      <c r="V2597" s="9"/>
      <c r="AF2597" s="9"/>
    </row>
    <row r="2598" spans="2:32" ht="15" x14ac:dyDescent="0.2">
      <c r="B2598" s="9"/>
      <c r="L2598" s="9"/>
      <c r="V2598" s="9"/>
      <c r="AF2598" s="9"/>
    </row>
    <row r="2599" spans="2:32" ht="15" x14ac:dyDescent="0.2">
      <c r="B2599" s="9"/>
      <c r="L2599" s="9"/>
      <c r="V2599" s="9"/>
      <c r="AF2599" s="9"/>
    </row>
    <row r="2600" spans="2:32" ht="15" x14ac:dyDescent="0.2">
      <c r="B2600" s="9"/>
      <c r="L2600" s="9"/>
      <c r="V2600" s="9"/>
      <c r="AF2600" s="9"/>
    </row>
    <row r="2601" spans="2:32" ht="15" x14ac:dyDescent="0.2">
      <c r="B2601" s="9"/>
      <c r="L2601" s="9"/>
      <c r="V2601" s="9"/>
      <c r="AF2601" s="9"/>
    </row>
    <row r="2602" spans="2:32" ht="15" x14ac:dyDescent="0.2">
      <c r="B2602" s="9"/>
      <c r="L2602" s="9"/>
      <c r="V2602" s="9"/>
      <c r="AF2602" s="9"/>
    </row>
    <row r="2603" spans="2:32" ht="15" x14ac:dyDescent="0.2">
      <c r="B2603" s="9"/>
      <c r="L2603" s="9"/>
      <c r="V2603" s="9"/>
      <c r="AF2603" s="9"/>
    </row>
    <row r="2604" spans="2:32" ht="15" x14ac:dyDescent="0.2">
      <c r="B2604" s="9"/>
      <c r="L2604" s="9"/>
      <c r="V2604" s="9"/>
      <c r="AF2604" s="9"/>
    </row>
    <row r="2605" spans="2:32" ht="15" x14ac:dyDescent="0.2">
      <c r="B2605" s="9"/>
      <c r="L2605" s="9"/>
      <c r="V2605" s="9"/>
      <c r="AF2605" s="9"/>
    </row>
    <row r="2606" spans="2:32" ht="15" x14ac:dyDescent="0.2">
      <c r="B2606" s="9"/>
      <c r="L2606" s="9"/>
      <c r="V2606" s="9"/>
      <c r="AF2606" s="9"/>
    </row>
    <row r="2607" spans="2:32" ht="15" x14ac:dyDescent="0.2">
      <c r="B2607" s="9"/>
      <c r="L2607" s="9"/>
      <c r="V2607" s="9"/>
      <c r="AF2607" s="9"/>
    </row>
    <row r="2608" spans="2:32" ht="15" x14ac:dyDescent="0.2">
      <c r="B2608" s="9"/>
      <c r="L2608" s="9"/>
      <c r="V2608" s="9"/>
      <c r="AF2608" s="9"/>
    </row>
    <row r="2609" spans="2:32" ht="15" x14ac:dyDescent="0.2">
      <c r="B2609" s="9"/>
      <c r="L2609" s="9"/>
      <c r="V2609" s="9"/>
      <c r="AF2609" s="9"/>
    </row>
    <row r="2610" spans="2:32" ht="15" x14ac:dyDescent="0.2">
      <c r="B2610" s="9"/>
      <c r="L2610" s="9"/>
      <c r="V2610" s="9"/>
      <c r="AF2610" s="9"/>
    </row>
    <row r="2611" spans="2:32" ht="15" x14ac:dyDescent="0.2">
      <c r="B2611" s="9"/>
      <c r="L2611" s="9"/>
      <c r="V2611" s="9"/>
      <c r="AF2611" s="9"/>
    </row>
    <row r="2612" spans="2:32" ht="15" x14ac:dyDescent="0.2">
      <c r="B2612" s="9"/>
      <c r="L2612" s="9"/>
      <c r="V2612" s="9"/>
      <c r="AF2612" s="9"/>
    </row>
    <row r="2613" spans="2:32" ht="15" x14ac:dyDescent="0.2">
      <c r="B2613" s="9"/>
      <c r="L2613" s="9"/>
      <c r="V2613" s="9"/>
      <c r="AF2613" s="9"/>
    </row>
    <row r="2614" spans="2:32" ht="15" x14ac:dyDescent="0.2">
      <c r="B2614" s="9"/>
      <c r="L2614" s="9"/>
      <c r="V2614" s="9"/>
      <c r="AF2614" s="9"/>
    </row>
    <row r="2615" spans="2:32" ht="15" x14ac:dyDescent="0.2">
      <c r="B2615" s="9"/>
      <c r="L2615" s="9"/>
      <c r="V2615" s="9"/>
      <c r="AF2615" s="9"/>
    </row>
    <row r="2616" spans="2:32" ht="15" x14ac:dyDescent="0.2">
      <c r="B2616" s="9"/>
      <c r="L2616" s="9"/>
      <c r="V2616" s="9"/>
      <c r="AF2616" s="9"/>
    </row>
    <row r="2617" spans="2:32" ht="15" x14ac:dyDescent="0.2">
      <c r="B2617" s="9"/>
      <c r="L2617" s="9"/>
      <c r="V2617" s="9"/>
      <c r="AF2617" s="9"/>
    </row>
    <row r="2618" spans="2:32" ht="15" x14ac:dyDescent="0.2">
      <c r="B2618" s="9"/>
      <c r="L2618" s="9"/>
      <c r="V2618" s="9"/>
      <c r="AF2618" s="9"/>
    </row>
    <row r="2619" spans="2:32" ht="15" x14ac:dyDescent="0.2">
      <c r="B2619" s="9"/>
      <c r="L2619" s="9"/>
      <c r="V2619" s="9"/>
      <c r="AF2619" s="9"/>
    </row>
    <row r="2620" spans="2:32" ht="15" x14ac:dyDescent="0.2">
      <c r="B2620" s="9"/>
      <c r="L2620" s="9"/>
      <c r="V2620" s="9"/>
      <c r="AF2620" s="9"/>
    </row>
    <row r="2621" spans="2:32" ht="15" x14ac:dyDescent="0.2">
      <c r="B2621" s="9"/>
      <c r="L2621" s="9"/>
      <c r="V2621" s="9"/>
      <c r="AF2621" s="9"/>
    </row>
    <row r="2622" spans="2:32" ht="15" x14ac:dyDescent="0.2">
      <c r="B2622" s="9"/>
      <c r="L2622" s="9"/>
      <c r="V2622" s="9"/>
      <c r="AF2622" s="9"/>
    </row>
    <row r="2623" spans="2:32" ht="15" x14ac:dyDescent="0.2">
      <c r="B2623" s="9"/>
      <c r="L2623" s="9"/>
      <c r="V2623" s="9"/>
      <c r="AF2623" s="9"/>
    </row>
    <row r="2624" spans="2:32" ht="15" x14ac:dyDescent="0.2">
      <c r="B2624" s="9"/>
      <c r="L2624" s="9"/>
      <c r="V2624" s="9"/>
      <c r="AF2624" s="9"/>
    </row>
    <row r="2625" spans="2:32" ht="15" x14ac:dyDescent="0.2">
      <c r="B2625" s="9"/>
      <c r="L2625" s="9"/>
      <c r="V2625" s="9"/>
      <c r="AF2625" s="9"/>
    </row>
    <row r="2626" spans="2:32" ht="15" x14ac:dyDescent="0.2">
      <c r="B2626" s="9"/>
      <c r="L2626" s="9"/>
      <c r="V2626" s="9"/>
      <c r="AF2626" s="9"/>
    </row>
    <row r="2627" spans="2:32" ht="15" x14ac:dyDescent="0.2">
      <c r="B2627" s="9"/>
      <c r="L2627" s="9"/>
      <c r="V2627" s="9"/>
      <c r="AF2627" s="9"/>
    </row>
    <row r="2628" spans="2:32" ht="15" x14ac:dyDescent="0.2">
      <c r="B2628" s="9"/>
      <c r="L2628" s="9"/>
      <c r="V2628" s="9"/>
      <c r="AF2628" s="9"/>
    </row>
    <row r="2629" spans="2:32" ht="15" x14ac:dyDescent="0.2">
      <c r="B2629" s="9"/>
      <c r="L2629" s="9"/>
      <c r="V2629" s="9"/>
      <c r="AF2629" s="9"/>
    </row>
    <row r="2630" spans="2:32" ht="15" x14ac:dyDescent="0.2">
      <c r="B2630" s="9"/>
      <c r="L2630" s="9"/>
      <c r="V2630" s="9"/>
      <c r="AF2630" s="9"/>
    </row>
    <row r="2631" spans="2:32" ht="15" x14ac:dyDescent="0.2">
      <c r="B2631" s="9"/>
      <c r="L2631" s="9"/>
      <c r="V2631" s="9"/>
      <c r="AF2631" s="9"/>
    </row>
    <row r="2632" spans="2:32" ht="15" x14ac:dyDescent="0.2">
      <c r="B2632" s="9"/>
      <c r="L2632" s="9"/>
      <c r="V2632" s="9"/>
      <c r="AF2632" s="9"/>
    </row>
    <row r="2633" spans="2:32" ht="15" x14ac:dyDescent="0.2">
      <c r="B2633" s="9"/>
      <c r="L2633" s="9"/>
      <c r="V2633" s="9"/>
      <c r="AF2633" s="9"/>
    </row>
    <row r="2634" spans="2:32" ht="15" x14ac:dyDescent="0.2">
      <c r="B2634" s="9"/>
      <c r="L2634" s="9"/>
      <c r="V2634" s="9"/>
      <c r="AF2634" s="9"/>
    </row>
    <row r="2635" spans="2:32" ht="15" x14ac:dyDescent="0.2">
      <c r="B2635" s="9"/>
      <c r="L2635" s="9"/>
      <c r="V2635" s="9"/>
      <c r="AF2635" s="9"/>
    </row>
    <row r="2636" spans="2:32" ht="15" x14ac:dyDescent="0.2">
      <c r="B2636" s="9"/>
      <c r="L2636" s="9"/>
      <c r="V2636" s="9"/>
      <c r="AF2636" s="9"/>
    </row>
    <row r="2637" spans="2:32" ht="15" x14ac:dyDescent="0.2">
      <c r="B2637" s="9"/>
      <c r="L2637" s="9"/>
      <c r="V2637" s="9"/>
      <c r="AF2637" s="9"/>
    </row>
    <row r="2638" spans="2:32" ht="15" x14ac:dyDescent="0.2">
      <c r="B2638" s="9"/>
      <c r="L2638" s="9"/>
      <c r="V2638" s="9"/>
      <c r="AF2638" s="9"/>
    </row>
    <row r="2639" spans="2:32" ht="15" x14ac:dyDescent="0.2">
      <c r="B2639" s="9"/>
      <c r="L2639" s="9"/>
      <c r="V2639" s="9"/>
      <c r="AF2639" s="9"/>
    </row>
    <row r="2640" spans="2:32" ht="15" x14ac:dyDescent="0.2">
      <c r="B2640" s="9"/>
      <c r="L2640" s="9"/>
      <c r="V2640" s="9"/>
      <c r="AF2640" s="9"/>
    </row>
    <row r="2641" spans="2:32" ht="15" x14ac:dyDescent="0.2">
      <c r="B2641" s="9"/>
      <c r="L2641" s="9"/>
      <c r="V2641" s="9"/>
      <c r="AF2641" s="9"/>
    </row>
    <row r="2642" spans="2:32" ht="15" x14ac:dyDescent="0.2">
      <c r="B2642" s="9"/>
      <c r="L2642" s="9"/>
      <c r="V2642" s="9"/>
      <c r="AF2642" s="9"/>
    </row>
    <row r="2643" spans="2:32" ht="15" x14ac:dyDescent="0.2">
      <c r="B2643" s="9"/>
      <c r="L2643" s="9"/>
      <c r="V2643" s="9"/>
      <c r="AF2643" s="9"/>
    </row>
    <row r="2644" spans="2:32" ht="15" x14ac:dyDescent="0.2">
      <c r="B2644" s="9"/>
      <c r="L2644" s="9"/>
      <c r="V2644" s="9"/>
      <c r="AF2644" s="9"/>
    </row>
    <row r="2645" spans="2:32" ht="15" x14ac:dyDescent="0.2">
      <c r="B2645" s="9"/>
      <c r="L2645" s="9"/>
      <c r="V2645" s="9"/>
      <c r="AF2645" s="9"/>
    </row>
    <row r="2646" spans="2:32" ht="15" x14ac:dyDescent="0.2">
      <c r="B2646" s="9"/>
      <c r="L2646" s="9"/>
      <c r="V2646" s="9"/>
      <c r="AF2646" s="9"/>
    </row>
    <row r="2647" spans="2:32" ht="15" x14ac:dyDescent="0.2">
      <c r="B2647" s="9"/>
      <c r="L2647" s="9"/>
      <c r="V2647" s="9"/>
      <c r="AF2647" s="9"/>
    </row>
    <row r="2648" spans="2:32" ht="15" x14ac:dyDescent="0.2">
      <c r="B2648" s="9"/>
      <c r="L2648" s="9"/>
      <c r="V2648" s="9"/>
      <c r="AF2648" s="9"/>
    </row>
    <row r="2649" spans="2:32" ht="15" x14ac:dyDescent="0.2">
      <c r="B2649" s="9"/>
      <c r="L2649" s="9"/>
      <c r="V2649" s="9"/>
      <c r="AF2649" s="9"/>
    </row>
    <row r="2650" spans="2:32" ht="15" x14ac:dyDescent="0.2">
      <c r="B2650" s="9"/>
      <c r="L2650" s="9"/>
      <c r="V2650" s="9"/>
      <c r="AF2650" s="9"/>
    </row>
    <row r="2651" spans="2:32" ht="15" x14ac:dyDescent="0.2">
      <c r="B2651" s="9"/>
      <c r="L2651" s="9"/>
      <c r="V2651" s="9"/>
      <c r="AF2651" s="9"/>
    </row>
    <row r="2652" spans="2:32" ht="15" x14ac:dyDescent="0.2">
      <c r="B2652" s="9"/>
      <c r="L2652" s="9"/>
      <c r="V2652" s="9"/>
      <c r="AF2652" s="9"/>
    </row>
    <row r="2653" spans="2:32" ht="15" x14ac:dyDescent="0.2">
      <c r="B2653" s="9"/>
      <c r="L2653" s="9"/>
      <c r="V2653" s="9"/>
      <c r="AF2653" s="9"/>
    </row>
    <row r="2654" spans="2:32" ht="15" x14ac:dyDescent="0.2">
      <c r="B2654" s="9"/>
      <c r="L2654" s="9"/>
      <c r="V2654" s="9"/>
      <c r="AF2654" s="9"/>
    </row>
    <row r="2655" spans="2:32" ht="15" x14ac:dyDescent="0.2">
      <c r="B2655" s="9"/>
      <c r="L2655" s="9"/>
      <c r="V2655" s="9"/>
      <c r="AF2655" s="9"/>
    </row>
    <row r="2656" spans="2:32" ht="15" x14ac:dyDescent="0.2">
      <c r="B2656" s="9"/>
      <c r="L2656" s="9"/>
      <c r="V2656" s="9"/>
      <c r="AF2656" s="9"/>
    </row>
    <row r="2657" spans="2:32" ht="15" x14ac:dyDescent="0.2">
      <c r="B2657" s="9"/>
      <c r="L2657" s="9"/>
      <c r="V2657" s="9"/>
      <c r="AF2657" s="9"/>
    </row>
    <row r="2658" spans="2:32" ht="15" x14ac:dyDescent="0.2">
      <c r="B2658" s="9"/>
      <c r="L2658" s="9"/>
      <c r="V2658" s="9"/>
      <c r="AF2658" s="9"/>
    </row>
    <row r="2659" spans="2:32" ht="15" x14ac:dyDescent="0.2">
      <c r="B2659" s="9"/>
      <c r="L2659" s="9"/>
      <c r="V2659" s="9"/>
      <c r="AF2659" s="9"/>
    </row>
    <row r="2660" spans="2:32" ht="15" x14ac:dyDescent="0.2">
      <c r="B2660" s="9"/>
      <c r="L2660" s="9"/>
      <c r="V2660" s="9"/>
      <c r="AF2660" s="9"/>
    </row>
    <row r="2661" spans="2:32" ht="15" x14ac:dyDescent="0.2">
      <c r="B2661" s="9"/>
      <c r="L2661" s="9"/>
      <c r="V2661" s="9"/>
      <c r="AF2661" s="9"/>
    </row>
    <row r="2662" spans="2:32" ht="15" x14ac:dyDescent="0.2">
      <c r="B2662" s="9"/>
      <c r="L2662" s="9"/>
      <c r="V2662" s="9"/>
      <c r="AF2662" s="9"/>
    </row>
    <row r="2663" spans="2:32" ht="15" x14ac:dyDescent="0.2">
      <c r="B2663" s="9"/>
      <c r="L2663" s="9"/>
      <c r="V2663" s="9"/>
      <c r="AF2663" s="9"/>
    </row>
    <row r="2664" spans="2:32" ht="15" x14ac:dyDescent="0.2">
      <c r="B2664" s="9"/>
      <c r="L2664" s="9"/>
      <c r="V2664" s="9"/>
      <c r="AF2664" s="9"/>
    </row>
    <row r="2665" spans="2:32" ht="15" x14ac:dyDescent="0.2">
      <c r="B2665" s="9"/>
      <c r="L2665" s="9"/>
      <c r="V2665" s="9"/>
      <c r="AF2665" s="9"/>
    </row>
    <row r="2666" spans="2:32" ht="15" x14ac:dyDescent="0.2">
      <c r="B2666" s="9"/>
      <c r="L2666" s="9"/>
      <c r="V2666" s="9"/>
      <c r="AF2666" s="9"/>
    </row>
    <row r="2667" spans="2:32" ht="15" x14ac:dyDescent="0.2">
      <c r="B2667" s="9"/>
      <c r="L2667" s="9"/>
      <c r="V2667" s="9"/>
      <c r="AF2667" s="9"/>
    </row>
    <row r="2668" spans="2:32" ht="15" x14ac:dyDescent="0.2">
      <c r="B2668" s="9"/>
      <c r="L2668" s="9"/>
      <c r="V2668" s="9"/>
      <c r="AF2668" s="9"/>
    </row>
    <row r="2669" spans="2:32" ht="15" x14ac:dyDescent="0.2">
      <c r="B2669" s="9"/>
      <c r="L2669" s="9"/>
      <c r="V2669" s="9"/>
      <c r="AF2669" s="9"/>
    </row>
    <row r="2670" spans="2:32" ht="15" x14ac:dyDescent="0.2">
      <c r="B2670" s="9"/>
      <c r="L2670" s="9"/>
      <c r="V2670" s="9"/>
      <c r="AF2670" s="9"/>
    </row>
    <row r="2671" spans="2:32" ht="15" x14ac:dyDescent="0.2">
      <c r="B2671" s="9"/>
      <c r="L2671" s="9"/>
      <c r="V2671" s="9"/>
      <c r="AF2671" s="9"/>
    </row>
    <row r="2672" spans="2:32" ht="15" x14ac:dyDescent="0.2">
      <c r="B2672" s="9"/>
      <c r="L2672" s="9"/>
      <c r="V2672" s="9"/>
      <c r="AF2672" s="9"/>
    </row>
    <row r="2673" spans="2:32" ht="15" x14ac:dyDescent="0.2">
      <c r="B2673" s="9"/>
      <c r="L2673" s="9"/>
      <c r="V2673" s="9"/>
      <c r="AF2673" s="9"/>
    </row>
    <row r="2674" spans="2:32" ht="15" x14ac:dyDescent="0.2">
      <c r="B2674" s="9"/>
      <c r="L2674" s="9"/>
      <c r="V2674" s="9"/>
      <c r="AF2674" s="9"/>
    </row>
    <row r="2675" spans="2:32" ht="15" x14ac:dyDescent="0.2">
      <c r="B2675" s="9"/>
      <c r="L2675" s="9"/>
      <c r="V2675" s="9"/>
      <c r="AF2675" s="9"/>
    </row>
    <row r="2676" spans="2:32" ht="15" x14ac:dyDescent="0.2">
      <c r="B2676" s="9"/>
      <c r="L2676" s="9"/>
      <c r="V2676" s="9"/>
      <c r="AF2676" s="9"/>
    </row>
    <row r="2677" spans="2:32" ht="15" x14ac:dyDescent="0.2">
      <c r="B2677" s="9"/>
      <c r="L2677" s="9"/>
      <c r="V2677" s="9"/>
      <c r="AF2677" s="9"/>
    </row>
    <row r="2678" spans="2:32" ht="15" x14ac:dyDescent="0.2">
      <c r="B2678" s="9"/>
      <c r="L2678" s="9"/>
      <c r="V2678" s="9"/>
      <c r="AF2678" s="9"/>
    </row>
    <row r="2679" spans="2:32" ht="15" x14ac:dyDescent="0.2">
      <c r="B2679" s="9"/>
      <c r="L2679" s="9"/>
      <c r="V2679" s="9"/>
      <c r="AF2679" s="9"/>
    </row>
    <row r="2680" spans="2:32" ht="15" x14ac:dyDescent="0.2">
      <c r="B2680" s="9"/>
      <c r="L2680" s="9"/>
      <c r="V2680" s="9"/>
      <c r="AF2680" s="9"/>
    </row>
    <row r="2681" spans="2:32" ht="15" x14ac:dyDescent="0.2">
      <c r="B2681" s="9"/>
      <c r="L2681" s="9"/>
      <c r="V2681" s="9"/>
      <c r="AF2681" s="9"/>
    </row>
    <row r="2682" spans="2:32" ht="15" x14ac:dyDescent="0.2">
      <c r="B2682" s="9"/>
      <c r="L2682" s="9"/>
      <c r="V2682" s="9"/>
      <c r="AF2682" s="9"/>
    </row>
    <row r="2683" spans="2:32" ht="15" x14ac:dyDescent="0.2">
      <c r="B2683" s="9"/>
      <c r="L2683" s="9"/>
      <c r="V2683" s="9"/>
      <c r="AF2683" s="9"/>
    </row>
    <row r="2684" spans="2:32" ht="15" x14ac:dyDescent="0.2">
      <c r="B2684" s="9"/>
      <c r="L2684" s="9"/>
      <c r="V2684" s="9"/>
      <c r="AF2684" s="9"/>
    </row>
    <row r="2685" spans="2:32" ht="15" x14ac:dyDescent="0.2">
      <c r="B2685" s="9"/>
      <c r="L2685" s="9"/>
      <c r="V2685" s="9"/>
      <c r="AF2685" s="9"/>
    </row>
    <row r="2686" spans="2:32" ht="15" x14ac:dyDescent="0.2">
      <c r="B2686" s="9"/>
      <c r="L2686" s="9"/>
      <c r="V2686" s="9"/>
      <c r="AF2686" s="9"/>
    </row>
    <row r="2687" spans="2:32" ht="15" x14ac:dyDescent="0.2">
      <c r="B2687" s="9"/>
      <c r="L2687" s="9"/>
      <c r="V2687" s="9"/>
      <c r="AF2687" s="9"/>
    </row>
    <row r="2688" spans="2:32" ht="15" x14ac:dyDescent="0.2">
      <c r="B2688" s="9"/>
      <c r="L2688" s="9"/>
      <c r="V2688" s="9"/>
      <c r="AF2688" s="9"/>
    </row>
    <row r="2689" spans="2:32" ht="15" x14ac:dyDescent="0.2">
      <c r="B2689" s="9"/>
      <c r="L2689" s="9"/>
      <c r="V2689" s="9"/>
      <c r="AF2689" s="9"/>
    </row>
    <row r="2690" spans="2:32" ht="15" x14ac:dyDescent="0.2">
      <c r="B2690" s="9"/>
      <c r="L2690" s="9"/>
      <c r="V2690" s="9"/>
      <c r="AF2690" s="9"/>
    </row>
    <row r="2691" spans="2:32" ht="15" x14ac:dyDescent="0.2">
      <c r="B2691" s="9"/>
      <c r="L2691" s="9"/>
      <c r="V2691" s="9"/>
      <c r="AF2691" s="9"/>
    </row>
    <row r="2692" spans="2:32" ht="15" x14ac:dyDescent="0.2">
      <c r="B2692" s="9"/>
      <c r="L2692" s="9"/>
      <c r="V2692" s="9"/>
      <c r="AF2692" s="9"/>
    </row>
    <row r="2693" spans="2:32" ht="15" x14ac:dyDescent="0.2">
      <c r="B2693" s="9"/>
      <c r="L2693" s="9"/>
      <c r="V2693" s="9"/>
      <c r="AF2693" s="9"/>
    </row>
    <row r="2694" spans="2:32" ht="15" x14ac:dyDescent="0.2">
      <c r="B2694" s="9"/>
      <c r="L2694" s="9"/>
      <c r="V2694" s="9"/>
      <c r="AF2694" s="9"/>
    </row>
    <row r="2695" spans="2:32" ht="15" x14ac:dyDescent="0.2">
      <c r="B2695" s="9"/>
      <c r="L2695" s="9"/>
      <c r="V2695" s="9"/>
      <c r="AF2695" s="9"/>
    </row>
    <row r="2696" spans="2:32" ht="15" x14ac:dyDescent="0.2">
      <c r="B2696" s="9"/>
      <c r="L2696" s="9"/>
      <c r="V2696" s="9"/>
      <c r="AF2696" s="9"/>
    </row>
    <row r="2697" spans="2:32" ht="15" x14ac:dyDescent="0.2">
      <c r="B2697" s="9"/>
      <c r="L2697" s="9"/>
      <c r="V2697" s="9"/>
      <c r="AF2697" s="9"/>
    </row>
    <row r="2698" spans="2:32" ht="15" x14ac:dyDescent="0.2">
      <c r="B2698" s="9"/>
      <c r="L2698" s="9"/>
      <c r="V2698" s="9"/>
      <c r="AF2698" s="9"/>
    </row>
    <row r="2699" spans="2:32" ht="15" x14ac:dyDescent="0.2">
      <c r="B2699" s="9"/>
      <c r="L2699" s="9"/>
      <c r="V2699" s="9"/>
      <c r="AF2699" s="9"/>
    </row>
    <row r="2700" spans="2:32" ht="15" x14ac:dyDescent="0.2">
      <c r="B2700" s="9"/>
      <c r="L2700" s="9"/>
      <c r="V2700" s="9"/>
      <c r="AF2700" s="9"/>
    </row>
    <row r="2701" spans="2:32" ht="15" x14ac:dyDescent="0.2">
      <c r="B2701" s="9"/>
      <c r="L2701" s="9"/>
      <c r="V2701" s="9"/>
      <c r="AF2701" s="9"/>
    </row>
    <row r="2702" spans="2:32" ht="15" x14ac:dyDescent="0.2">
      <c r="B2702" s="9"/>
      <c r="L2702" s="9"/>
      <c r="V2702" s="9"/>
      <c r="AF2702" s="9"/>
    </row>
    <row r="2703" spans="2:32" ht="15" x14ac:dyDescent="0.2">
      <c r="B2703" s="9"/>
      <c r="L2703" s="9"/>
      <c r="V2703" s="9"/>
      <c r="AF2703" s="9"/>
    </row>
    <row r="2704" spans="2:32" ht="15" x14ac:dyDescent="0.2">
      <c r="B2704" s="9"/>
      <c r="L2704" s="9"/>
      <c r="V2704" s="9"/>
      <c r="AF2704" s="9"/>
    </row>
    <row r="2705" spans="2:32" ht="15" x14ac:dyDescent="0.2">
      <c r="B2705" s="9"/>
      <c r="L2705" s="9"/>
      <c r="V2705" s="9"/>
      <c r="AF2705" s="9"/>
    </row>
    <row r="2706" spans="2:32" ht="15" x14ac:dyDescent="0.2">
      <c r="B2706" s="9"/>
      <c r="L2706" s="9"/>
      <c r="V2706" s="9"/>
      <c r="AF2706" s="9"/>
    </row>
    <row r="2707" spans="2:32" ht="15" x14ac:dyDescent="0.2">
      <c r="B2707" s="9"/>
      <c r="L2707" s="9"/>
      <c r="V2707" s="9"/>
      <c r="AF2707" s="9"/>
    </row>
    <row r="2708" spans="2:32" ht="15" x14ac:dyDescent="0.2">
      <c r="B2708" s="9"/>
      <c r="L2708" s="9"/>
      <c r="V2708" s="9"/>
      <c r="AF2708" s="9"/>
    </row>
    <row r="2709" spans="2:32" ht="15" x14ac:dyDescent="0.2">
      <c r="B2709" s="9"/>
      <c r="L2709" s="9"/>
      <c r="V2709" s="9"/>
      <c r="AF2709" s="9"/>
    </row>
    <row r="2710" spans="2:32" ht="15" x14ac:dyDescent="0.2">
      <c r="B2710" s="9"/>
      <c r="L2710" s="9"/>
      <c r="V2710" s="9"/>
      <c r="AF2710" s="9"/>
    </row>
    <row r="2711" spans="2:32" ht="15" x14ac:dyDescent="0.2">
      <c r="B2711" s="9"/>
      <c r="L2711" s="9"/>
      <c r="V2711" s="9"/>
      <c r="AF2711" s="9"/>
    </row>
    <row r="2712" spans="2:32" ht="15" x14ac:dyDescent="0.2">
      <c r="B2712" s="9"/>
      <c r="L2712" s="9"/>
      <c r="V2712" s="9"/>
      <c r="AF2712" s="9"/>
    </row>
    <row r="2713" spans="2:32" ht="15" x14ac:dyDescent="0.2">
      <c r="B2713" s="9"/>
      <c r="L2713" s="9"/>
      <c r="V2713" s="9"/>
      <c r="AF2713" s="9"/>
    </row>
    <row r="2714" spans="2:32" ht="15" x14ac:dyDescent="0.2">
      <c r="B2714" s="9"/>
      <c r="L2714" s="9"/>
      <c r="V2714" s="9"/>
      <c r="AF2714" s="9"/>
    </row>
    <row r="2715" spans="2:32" ht="15" x14ac:dyDescent="0.2">
      <c r="B2715" s="9"/>
      <c r="L2715" s="9"/>
      <c r="V2715" s="9"/>
      <c r="AF2715" s="9"/>
    </row>
    <row r="2716" spans="2:32" ht="15" x14ac:dyDescent="0.2">
      <c r="B2716" s="9"/>
      <c r="L2716" s="9"/>
      <c r="V2716" s="9"/>
      <c r="AF2716" s="9"/>
    </row>
    <row r="2717" spans="2:32" ht="15" x14ac:dyDescent="0.2">
      <c r="B2717" s="9"/>
      <c r="L2717" s="9"/>
      <c r="V2717" s="9"/>
      <c r="AF2717" s="9"/>
    </row>
    <row r="2718" spans="2:32" ht="15" x14ac:dyDescent="0.2">
      <c r="B2718" s="9"/>
      <c r="L2718" s="9"/>
      <c r="V2718" s="9"/>
      <c r="AF2718" s="9"/>
    </row>
    <row r="2719" spans="2:32" ht="15" x14ac:dyDescent="0.2">
      <c r="B2719" s="9"/>
      <c r="L2719" s="9"/>
      <c r="V2719" s="9"/>
      <c r="AF2719" s="9"/>
    </row>
    <row r="2720" spans="2:32" ht="15" x14ac:dyDescent="0.2">
      <c r="B2720" s="9"/>
      <c r="L2720" s="9"/>
      <c r="V2720" s="9"/>
      <c r="AF2720" s="9"/>
    </row>
    <row r="2721" spans="2:32" ht="15" x14ac:dyDescent="0.2">
      <c r="B2721" s="9"/>
      <c r="L2721" s="9"/>
      <c r="V2721" s="9"/>
      <c r="AF2721" s="9"/>
    </row>
    <row r="2722" spans="2:32" ht="15" x14ac:dyDescent="0.2">
      <c r="B2722" s="9"/>
      <c r="L2722" s="9"/>
      <c r="V2722" s="9"/>
      <c r="AF2722" s="9"/>
    </row>
    <row r="2723" spans="2:32" ht="15" x14ac:dyDescent="0.2">
      <c r="B2723" s="9"/>
      <c r="L2723" s="9"/>
      <c r="V2723" s="9"/>
      <c r="AF2723" s="9"/>
    </row>
    <row r="2724" spans="2:32" ht="15" x14ac:dyDescent="0.2">
      <c r="B2724" s="9"/>
      <c r="L2724" s="9"/>
      <c r="V2724" s="9"/>
      <c r="AF2724" s="9"/>
    </row>
    <row r="2725" spans="2:32" ht="15" x14ac:dyDescent="0.2">
      <c r="B2725" s="9"/>
      <c r="L2725" s="9"/>
      <c r="V2725" s="9"/>
      <c r="AF2725" s="9"/>
    </row>
    <row r="2726" spans="2:32" ht="15" x14ac:dyDescent="0.2">
      <c r="B2726" s="9"/>
      <c r="L2726" s="9"/>
      <c r="V2726" s="9"/>
      <c r="AF2726" s="9"/>
    </row>
    <row r="2727" spans="2:32" ht="15" x14ac:dyDescent="0.2">
      <c r="B2727" s="9"/>
      <c r="L2727" s="9"/>
      <c r="V2727" s="9"/>
      <c r="AF2727" s="9"/>
    </row>
    <row r="2728" spans="2:32" ht="15" x14ac:dyDescent="0.2">
      <c r="B2728" s="9"/>
      <c r="L2728" s="9"/>
      <c r="V2728" s="9"/>
      <c r="AF2728" s="9"/>
    </row>
    <row r="2729" spans="2:32" ht="15" x14ac:dyDescent="0.2">
      <c r="B2729" s="9"/>
      <c r="L2729" s="9"/>
      <c r="V2729" s="9"/>
      <c r="AF2729" s="9"/>
    </row>
    <row r="2730" spans="2:32" ht="15" x14ac:dyDescent="0.2">
      <c r="B2730" s="9"/>
      <c r="L2730" s="9"/>
      <c r="V2730" s="9"/>
      <c r="AF2730" s="9"/>
    </row>
    <row r="2731" spans="2:32" ht="15" x14ac:dyDescent="0.2">
      <c r="B2731" s="9"/>
      <c r="L2731" s="9"/>
      <c r="V2731" s="9"/>
      <c r="AF2731" s="9"/>
    </row>
    <row r="2732" spans="2:32" ht="15" x14ac:dyDescent="0.2">
      <c r="B2732" s="9"/>
      <c r="L2732" s="9"/>
      <c r="V2732" s="9"/>
      <c r="AF2732" s="9"/>
    </row>
    <row r="2733" spans="2:32" ht="15" x14ac:dyDescent="0.2">
      <c r="B2733" s="9"/>
      <c r="L2733" s="9"/>
      <c r="V2733" s="9"/>
      <c r="AF2733" s="9"/>
    </row>
    <row r="2734" spans="2:32" ht="15" x14ac:dyDescent="0.2">
      <c r="B2734" s="9"/>
      <c r="L2734" s="9"/>
      <c r="V2734" s="9"/>
      <c r="AF2734" s="9"/>
    </row>
    <row r="2735" spans="2:32" ht="15" x14ac:dyDescent="0.2">
      <c r="B2735" s="9"/>
      <c r="L2735" s="9"/>
      <c r="V2735" s="9"/>
      <c r="AF2735" s="9"/>
    </row>
    <row r="2736" spans="2:32" ht="15" x14ac:dyDescent="0.2">
      <c r="B2736" s="9"/>
      <c r="L2736" s="9"/>
      <c r="V2736" s="9"/>
      <c r="AF2736" s="9"/>
    </row>
    <row r="2737" spans="2:32" ht="15" x14ac:dyDescent="0.2">
      <c r="B2737" s="9"/>
      <c r="L2737" s="9"/>
      <c r="V2737" s="9"/>
      <c r="AF2737" s="9"/>
    </row>
    <row r="2738" spans="2:32" ht="15" x14ac:dyDescent="0.2">
      <c r="B2738" s="9"/>
      <c r="L2738" s="9"/>
      <c r="V2738" s="9"/>
      <c r="AF2738" s="9"/>
    </row>
    <row r="2739" spans="2:32" ht="15" x14ac:dyDescent="0.2">
      <c r="B2739" s="9"/>
      <c r="L2739" s="9"/>
      <c r="V2739" s="9"/>
      <c r="AF2739" s="9"/>
    </row>
    <row r="2740" spans="2:32" ht="15" x14ac:dyDescent="0.2">
      <c r="B2740" s="9"/>
      <c r="L2740" s="9"/>
      <c r="V2740" s="9"/>
      <c r="AF2740" s="9"/>
    </row>
    <row r="2741" spans="2:32" ht="15" x14ac:dyDescent="0.2">
      <c r="B2741" s="9"/>
      <c r="L2741" s="9"/>
      <c r="V2741" s="9"/>
      <c r="AF2741" s="9"/>
    </row>
    <row r="2742" spans="2:32" ht="15" x14ac:dyDescent="0.2">
      <c r="B2742" s="9"/>
      <c r="L2742" s="9"/>
      <c r="V2742" s="9"/>
      <c r="AF2742" s="9"/>
    </row>
    <row r="2743" spans="2:32" ht="15" x14ac:dyDescent="0.2">
      <c r="B2743" s="9"/>
      <c r="L2743" s="9"/>
      <c r="V2743" s="9"/>
      <c r="AF2743" s="9"/>
    </row>
    <row r="2744" spans="2:32" ht="15" x14ac:dyDescent="0.2">
      <c r="B2744" s="9"/>
      <c r="L2744" s="9"/>
      <c r="V2744" s="9"/>
      <c r="AF2744" s="9"/>
    </row>
    <row r="2745" spans="2:32" ht="15" x14ac:dyDescent="0.2">
      <c r="B2745" s="9"/>
      <c r="L2745" s="9"/>
      <c r="V2745" s="9"/>
      <c r="AF2745" s="9"/>
    </row>
    <row r="2746" spans="2:32" ht="15" x14ac:dyDescent="0.2">
      <c r="B2746" s="9"/>
      <c r="L2746" s="9"/>
      <c r="V2746" s="9"/>
      <c r="AF2746" s="9"/>
    </row>
    <row r="2747" spans="2:32" ht="15" x14ac:dyDescent="0.2">
      <c r="B2747" s="9"/>
      <c r="L2747" s="9"/>
      <c r="V2747" s="9"/>
      <c r="AF2747" s="9"/>
    </row>
    <row r="2748" spans="2:32" ht="15" x14ac:dyDescent="0.2">
      <c r="B2748" s="9"/>
      <c r="L2748" s="9"/>
      <c r="V2748" s="9"/>
      <c r="AF2748" s="9"/>
    </row>
    <row r="2749" spans="2:32" ht="15" x14ac:dyDescent="0.2">
      <c r="B2749" s="9"/>
      <c r="L2749" s="9"/>
      <c r="V2749" s="9"/>
      <c r="AF2749" s="9"/>
    </row>
    <row r="2750" spans="2:32" ht="15" x14ac:dyDescent="0.2">
      <c r="B2750" s="9"/>
      <c r="L2750" s="9"/>
      <c r="V2750" s="9"/>
      <c r="AF2750" s="9"/>
    </row>
    <row r="2751" spans="2:32" ht="15" x14ac:dyDescent="0.2">
      <c r="B2751" s="9"/>
      <c r="L2751" s="9"/>
      <c r="V2751" s="9"/>
      <c r="AF2751" s="9"/>
    </row>
    <row r="2752" spans="2:32" ht="15" x14ac:dyDescent="0.2">
      <c r="B2752" s="9"/>
      <c r="L2752" s="9"/>
      <c r="V2752" s="9"/>
      <c r="AF2752" s="9"/>
    </row>
    <row r="2753" spans="2:32" ht="15" x14ac:dyDescent="0.2">
      <c r="B2753" s="9"/>
      <c r="L2753" s="9"/>
      <c r="V2753" s="9"/>
      <c r="AF2753" s="9"/>
    </row>
    <row r="2754" spans="2:32" ht="15" x14ac:dyDescent="0.2">
      <c r="B2754" s="9"/>
      <c r="L2754" s="9"/>
      <c r="V2754" s="9"/>
      <c r="AF2754" s="9"/>
    </row>
    <row r="2755" spans="2:32" ht="15" x14ac:dyDescent="0.2">
      <c r="B2755" s="9"/>
      <c r="L2755" s="9"/>
      <c r="V2755" s="9"/>
      <c r="AF2755" s="9"/>
    </row>
    <row r="2756" spans="2:32" ht="15" x14ac:dyDescent="0.2">
      <c r="B2756" s="9"/>
      <c r="L2756" s="9"/>
      <c r="V2756" s="9"/>
      <c r="AF2756" s="9"/>
    </row>
    <row r="2757" spans="2:32" ht="15" x14ac:dyDescent="0.2">
      <c r="B2757" s="9"/>
      <c r="L2757" s="9"/>
      <c r="V2757" s="9"/>
      <c r="AF2757" s="9"/>
    </row>
    <row r="2758" spans="2:32" ht="15" x14ac:dyDescent="0.2">
      <c r="B2758" s="9"/>
      <c r="L2758" s="9"/>
      <c r="V2758" s="9"/>
      <c r="AF2758" s="9"/>
    </row>
    <row r="2759" spans="2:32" ht="15" x14ac:dyDescent="0.2">
      <c r="B2759" s="9"/>
      <c r="L2759" s="9"/>
      <c r="V2759" s="9"/>
      <c r="AF2759" s="9"/>
    </row>
    <row r="2760" spans="2:32" ht="15" x14ac:dyDescent="0.2">
      <c r="B2760" s="9"/>
      <c r="L2760" s="9"/>
      <c r="V2760" s="9"/>
      <c r="AF2760" s="9"/>
    </row>
    <row r="2761" spans="2:32" ht="15" x14ac:dyDescent="0.2">
      <c r="B2761" s="9"/>
      <c r="L2761" s="9"/>
      <c r="V2761" s="9"/>
      <c r="AF2761" s="9"/>
    </row>
    <row r="2762" spans="2:32" ht="15" x14ac:dyDescent="0.2">
      <c r="B2762" s="9"/>
      <c r="L2762" s="9"/>
      <c r="V2762" s="9"/>
      <c r="AF2762" s="9"/>
    </row>
    <row r="2763" spans="2:32" ht="15" x14ac:dyDescent="0.2">
      <c r="B2763" s="9"/>
      <c r="L2763" s="9"/>
      <c r="V2763" s="9"/>
      <c r="AF2763" s="9"/>
    </row>
    <row r="2764" spans="2:32" ht="15" x14ac:dyDescent="0.2">
      <c r="B2764" s="9"/>
      <c r="L2764" s="9"/>
      <c r="V2764" s="9"/>
      <c r="AF2764" s="9"/>
    </row>
    <row r="2765" spans="2:32" ht="15" x14ac:dyDescent="0.2">
      <c r="B2765" s="9"/>
      <c r="L2765" s="9"/>
      <c r="V2765" s="9"/>
      <c r="AF2765" s="9"/>
    </row>
    <row r="2766" spans="2:32" ht="15" x14ac:dyDescent="0.2">
      <c r="B2766" s="9"/>
      <c r="L2766" s="9"/>
      <c r="V2766" s="9"/>
      <c r="AF2766" s="9"/>
    </row>
    <row r="2767" spans="2:32" ht="15" x14ac:dyDescent="0.2">
      <c r="B2767" s="9"/>
      <c r="L2767" s="9"/>
      <c r="V2767" s="9"/>
      <c r="AF2767" s="9"/>
    </row>
    <row r="2768" spans="2:32" ht="15" x14ac:dyDescent="0.2">
      <c r="B2768" s="9"/>
      <c r="L2768" s="9"/>
      <c r="V2768" s="9"/>
      <c r="AF2768" s="9"/>
    </row>
    <row r="2769" spans="2:32" ht="15" x14ac:dyDescent="0.2">
      <c r="B2769" s="9"/>
      <c r="L2769" s="9"/>
      <c r="V2769" s="9"/>
      <c r="AF2769" s="9"/>
    </row>
    <row r="2770" spans="2:32" ht="15" x14ac:dyDescent="0.2">
      <c r="B2770" s="9"/>
      <c r="L2770" s="9"/>
      <c r="V2770" s="9"/>
      <c r="AF2770" s="9"/>
    </row>
    <row r="2771" spans="2:32" ht="15" x14ac:dyDescent="0.2">
      <c r="B2771" s="9"/>
      <c r="L2771" s="9"/>
      <c r="V2771" s="9"/>
      <c r="AF2771" s="9"/>
    </row>
    <row r="2772" spans="2:32" ht="15" x14ac:dyDescent="0.2">
      <c r="B2772" s="9"/>
      <c r="L2772" s="9"/>
      <c r="V2772" s="9"/>
      <c r="AF2772" s="9"/>
    </row>
    <row r="2773" spans="2:32" ht="15" x14ac:dyDescent="0.2">
      <c r="B2773" s="9"/>
      <c r="L2773" s="9"/>
      <c r="V2773" s="9"/>
      <c r="AF2773" s="9"/>
    </row>
    <row r="2774" spans="2:32" ht="15" x14ac:dyDescent="0.2">
      <c r="B2774" s="9"/>
      <c r="L2774" s="9"/>
      <c r="V2774" s="9"/>
      <c r="AF2774" s="9"/>
    </row>
    <row r="2775" spans="2:32" ht="15" x14ac:dyDescent="0.2">
      <c r="B2775" s="9"/>
      <c r="L2775" s="9"/>
      <c r="V2775" s="9"/>
      <c r="AF2775" s="9"/>
    </row>
    <row r="2776" spans="2:32" ht="15" x14ac:dyDescent="0.2">
      <c r="B2776" s="9"/>
      <c r="L2776" s="9"/>
      <c r="V2776" s="9"/>
      <c r="AF2776" s="9"/>
    </row>
    <row r="2777" spans="2:32" ht="15" x14ac:dyDescent="0.2">
      <c r="B2777" s="9"/>
      <c r="L2777" s="9"/>
      <c r="V2777" s="9"/>
      <c r="AF2777" s="9"/>
    </row>
    <row r="2778" spans="2:32" ht="15" x14ac:dyDescent="0.2">
      <c r="B2778" s="9"/>
      <c r="L2778" s="9"/>
      <c r="V2778" s="9"/>
      <c r="AF2778" s="9"/>
    </row>
    <row r="2779" spans="2:32" ht="15" x14ac:dyDescent="0.2">
      <c r="B2779" s="9"/>
      <c r="L2779" s="9"/>
      <c r="V2779" s="9"/>
      <c r="AF2779" s="9"/>
    </row>
    <row r="2780" spans="2:32" ht="15" x14ac:dyDescent="0.2">
      <c r="B2780" s="9"/>
      <c r="L2780" s="9"/>
      <c r="V2780" s="9"/>
      <c r="AF2780" s="9"/>
    </row>
    <row r="2781" spans="2:32" ht="15" x14ac:dyDescent="0.2">
      <c r="B2781" s="9"/>
      <c r="L2781" s="9"/>
      <c r="V2781" s="9"/>
      <c r="AF2781" s="9"/>
    </row>
    <row r="2782" spans="2:32" ht="15" x14ac:dyDescent="0.2">
      <c r="B2782" s="9"/>
      <c r="L2782" s="9"/>
      <c r="V2782" s="9"/>
      <c r="AF2782" s="9"/>
    </row>
    <row r="2783" spans="2:32" ht="15" x14ac:dyDescent="0.2">
      <c r="B2783" s="9"/>
      <c r="L2783" s="9"/>
      <c r="V2783" s="9"/>
      <c r="AF2783" s="9"/>
    </row>
    <row r="2784" spans="2:32" ht="15" x14ac:dyDescent="0.2">
      <c r="B2784" s="9"/>
      <c r="L2784" s="9"/>
      <c r="V2784" s="9"/>
      <c r="AF2784" s="9"/>
    </row>
    <row r="2785" spans="2:32" ht="15" x14ac:dyDescent="0.2">
      <c r="B2785" s="9"/>
      <c r="L2785" s="9"/>
      <c r="V2785" s="9"/>
      <c r="AF2785" s="9"/>
    </row>
    <row r="2786" spans="2:32" ht="15" x14ac:dyDescent="0.2">
      <c r="B2786" s="9"/>
      <c r="L2786" s="9"/>
      <c r="V2786" s="9"/>
      <c r="AF2786" s="9"/>
    </row>
    <row r="2787" spans="2:32" ht="15" x14ac:dyDescent="0.2">
      <c r="B2787" s="9"/>
      <c r="L2787" s="9"/>
      <c r="V2787" s="9"/>
      <c r="AF2787" s="9"/>
    </row>
    <row r="2788" spans="2:32" ht="15" x14ac:dyDescent="0.2">
      <c r="B2788" s="9"/>
      <c r="L2788" s="9"/>
      <c r="V2788" s="9"/>
      <c r="AF2788" s="9"/>
    </row>
    <row r="2789" spans="2:32" ht="15" x14ac:dyDescent="0.2">
      <c r="B2789" s="9"/>
      <c r="L2789" s="9"/>
      <c r="V2789" s="9"/>
      <c r="AF2789" s="9"/>
    </row>
    <row r="2790" spans="2:32" ht="15" x14ac:dyDescent="0.2">
      <c r="B2790" s="9"/>
      <c r="L2790" s="9"/>
      <c r="V2790" s="9"/>
      <c r="AF2790" s="9"/>
    </row>
    <row r="2791" spans="2:32" ht="15" x14ac:dyDescent="0.2">
      <c r="B2791" s="9"/>
      <c r="L2791" s="9"/>
      <c r="V2791" s="9"/>
      <c r="AF2791" s="9"/>
    </row>
    <row r="2792" spans="2:32" ht="15" x14ac:dyDescent="0.2">
      <c r="B2792" s="9"/>
      <c r="L2792" s="9"/>
      <c r="V2792" s="9"/>
      <c r="AF2792" s="9"/>
    </row>
    <row r="2793" spans="2:32" ht="15" x14ac:dyDescent="0.2">
      <c r="B2793" s="9"/>
      <c r="L2793" s="9"/>
      <c r="V2793" s="9"/>
      <c r="AF2793" s="9"/>
    </row>
    <row r="2794" spans="2:32" ht="15" x14ac:dyDescent="0.2">
      <c r="B2794" s="9"/>
      <c r="L2794" s="9"/>
      <c r="V2794" s="9"/>
      <c r="AF2794" s="9"/>
    </row>
    <row r="2795" spans="2:32" ht="15" x14ac:dyDescent="0.2">
      <c r="B2795" s="9"/>
      <c r="L2795" s="9"/>
      <c r="V2795" s="9"/>
      <c r="AF2795" s="9"/>
    </row>
    <row r="2796" spans="2:32" ht="15" x14ac:dyDescent="0.2">
      <c r="B2796" s="9"/>
      <c r="L2796" s="9"/>
      <c r="V2796" s="9"/>
      <c r="AF2796" s="9"/>
    </row>
    <row r="2797" spans="2:32" ht="15" x14ac:dyDescent="0.2">
      <c r="B2797" s="9"/>
      <c r="L2797" s="9"/>
      <c r="V2797" s="9"/>
      <c r="AF2797" s="9"/>
    </row>
    <row r="2798" spans="2:32" ht="15" x14ac:dyDescent="0.2">
      <c r="B2798" s="9"/>
      <c r="L2798" s="9"/>
      <c r="V2798" s="9"/>
      <c r="AF2798" s="9"/>
    </row>
    <row r="2799" spans="2:32" ht="15" x14ac:dyDescent="0.2">
      <c r="B2799" s="9"/>
      <c r="L2799" s="9"/>
      <c r="V2799" s="9"/>
      <c r="AF2799" s="9"/>
    </row>
    <row r="2800" spans="2:32" ht="15" x14ac:dyDescent="0.2">
      <c r="B2800" s="9"/>
      <c r="L2800" s="9"/>
      <c r="V2800" s="9"/>
      <c r="AF2800" s="9"/>
    </row>
    <row r="2801" spans="2:32" ht="15" x14ac:dyDescent="0.2">
      <c r="B2801" s="9"/>
      <c r="L2801" s="9"/>
      <c r="V2801" s="9"/>
      <c r="AF2801" s="9"/>
    </row>
    <row r="2802" spans="2:32" ht="15" x14ac:dyDescent="0.2">
      <c r="B2802" s="9"/>
      <c r="L2802" s="9"/>
      <c r="V2802" s="9"/>
      <c r="AF2802" s="9"/>
    </row>
    <row r="2803" spans="2:32" ht="15" x14ac:dyDescent="0.2">
      <c r="B2803" s="9"/>
      <c r="L2803" s="9"/>
      <c r="V2803" s="9"/>
      <c r="AF2803" s="9"/>
    </row>
    <row r="2804" spans="2:32" ht="15" x14ac:dyDescent="0.2">
      <c r="B2804" s="9"/>
      <c r="L2804" s="9"/>
      <c r="V2804" s="9"/>
      <c r="AF2804" s="9"/>
    </row>
    <row r="2805" spans="2:32" ht="15" x14ac:dyDescent="0.2">
      <c r="B2805" s="9"/>
      <c r="L2805" s="9"/>
      <c r="V2805" s="9"/>
      <c r="AF2805" s="9"/>
    </row>
    <row r="2806" spans="2:32" ht="15" x14ac:dyDescent="0.2">
      <c r="B2806" s="9"/>
      <c r="L2806" s="9"/>
      <c r="V2806" s="9"/>
      <c r="AF2806" s="9"/>
    </row>
    <row r="2807" spans="2:32" ht="15" x14ac:dyDescent="0.2">
      <c r="B2807" s="9"/>
      <c r="L2807" s="9"/>
      <c r="V2807" s="9"/>
      <c r="AF2807" s="9"/>
    </row>
    <row r="2808" spans="2:32" ht="15" x14ac:dyDescent="0.2">
      <c r="B2808" s="9"/>
      <c r="L2808" s="9"/>
      <c r="V2808" s="9"/>
      <c r="AF2808" s="9"/>
    </row>
    <row r="2809" spans="2:32" ht="15" x14ac:dyDescent="0.2">
      <c r="B2809" s="9"/>
      <c r="L2809" s="9"/>
      <c r="V2809" s="9"/>
      <c r="AF2809" s="9"/>
    </row>
    <row r="2810" spans="2:32" ht="15" x14ac:dyDescent="0.2">
      <c r="B2810" s="9"/>
      <c r="L2810" s="9"/>
      <c r="V2810" s="9"/>
      <c r="AF2810" s="9"/>
    </row>
    <row r="2811" spans="2:32" ht="15" x14ac:dyDescent="0.2">
      <c r="B2811" s="9"/>
      <c r="L2811" s="9"/>
      <c r="V2811" s="9"/>
      <c r="AF2811" s="9"/>
    </row>
    <row r="2812" spans="2:32" ht="15" x14ac:dyDescent="0.2">
      <c r="B2812" s="9"/>
      <c r="L2812" s="9"/>
      <c r="V2812" s="9"/>
      <c r="AF2812" s="9"/>
    </row>
    <row r="2813" spans="2:32" ht="15" x14ac:dyDescent="0.2">
      <c r="B2813" s="9"/>
      <c r="L2813" s="9"/>
      <c r="V2813" s="9"/>
      <c r="AF2813" s="9"/>
    </row>
    <row r="2814" spans="2:32" ht="15" x14ac:dyDescent="0.2">
      <c r="B2814" s="9"/>
      <c r="L2814" s="9"/>
      <c r="V2814" s="9"/>
      <c r="AF2814" s="9"/>
    </row>
    <row r="2815" spans="2:32" ht="15" x14ac:dyDescent="0.2">
      <c r="B2815" s="9"/>
      <c r="L2815" s="9"/>
      <c r="V2815" s="9"/>
      <c r="AF2815" s="9"/>
    </row>
    <row r="2816" spans="2:32" ht="15" x14ac:dyDescent="0.2">
      <c r="B2816" s="9"/>
      <c r="L2816" s="9"/>
      <c r="V2816" s="9"/>
      <c r="AF2816" s="9"/>
    </row>
    <row r="2817" spans="2:32" ht="15" x14ac:dyDescent="0.2">
      <c r="B2817" s="9"/>
      <c r="L2817" s="9"/>
      <c r="V2817" s="9"/>
      <c r="AF2817" s="9"/>
    </row>
    <row r="2818" spans="2:32" ht="15" x14ac:dyDescent="0.2">
      <c r="B2818" s="9"/>
      <c r="L2818" s="9"/>
      <c r="V2818" s="9"/>
      <c r="AF2818" s="9"/>
    </row>
    <row r="2819" spans="2:32" ht="15" x14ac:dyDescent="0.2">
      <c r="B2819" s="9"/>
      <c r="L2819" s="9"/>
      <c r="V2819" s="9"/>
      <c r="AF2819" s="9"/>
    </row>
    <row r="2820" spans="2:32" ht="15" x14ac:dyDescent="0.2">
      <c r="B2820" s="9"/>
      <c r="L2820" s="9"/>
      <c r="V2820" s="9"/>
      <c r="AF2820" s="9"/>
    </row>
    <row r="2821" spans="2:32" ht="15" x14ac:dyDescent="0.2">
      <c r="B2821" s="9"/>
      <c r="L2821" s="9"/>
      <c r="V2821" s="9"/>
      <c r="AF2821" s="9"/>
    </row>
    <row r="2822" spans="2:32" ht="15" x14ac:dyDescent="0.2">
      <c r="B2822" s="9"/>
      <c r="L2822" s="9"/>
      <c r="V2822" s="9"/>
      <c r="AF2822" s="9"/>
    </row>
    <row r="2823" spans="2:32" ht="15" x14ac:dyDescent="0.2">
      <c r="B2823" s="9"/>
      <c r="L2823" s="9"/>
      <c r="V2823" s="9"/>
      <c r="AF2823" s="9"/>
    </row>
    <row r="2824" spans="2:32" ht="15" x14ac:dyDescent="0.2">
      <c r="B2824" s="9"/>
      <c r="L2824" s="9"/>
      <c r="V2824" s="9"/>
      <c r="AF2824" s="9"/>
    </row>
  </sheetData>
  <dataConsolidate/>
  <mergeCells count="8">
    <mergeCell ref="AE1:AK1"/>
    <mergeCell ref="AE2:AK2"/>
    <mergeCell ref="U1:AA1"/>
    <mergeCell ref="U2:AA2"/>
    <mergeCell ref="A1:I1"/>
    <mergeCell ref="A2:I2"/>
    <mergeCell ref="K1:S1"/>
    <mergeCell ref="K2:S2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0"/>
  <sheetViews>
    <sheetView workbookViewId="0">
      <selection activeCell="D11" sqref="D11"/>
    </sheetView>
  </sheetViews>
  <sheetFormatPr defaultRowHeight="15" x14ac:dyDescent="0.25"/>
  <cols>
    <col min="1" max="1" width="9.140625" style="9"/>
    <col min="2" max="2" width="1.7109375" customWidth="1"/>
  </cols>
  <sheetData>
    <row r="1" spans="1:7" x14ac:dyDescent="0.25">
      <c r="A1" s="11" t="s">
        <v>15</v>
      </c>
      <c r="C1" s="30" t="s">
        <v>21</v>
      </c>
      <c r="E1" s="24" t="s">
        <v>1</v>
      </c>
      <c r="F1" s="24" t="s">
        <v>15</v>
      </c>
      <c r="G1" s="24" t="s">
        <v>20</v>
      </c>
    </row>
    <row r="2" spans="1:7" x14ac:dyDescent="0.25">
      <c r="A2" s="10" t="s">
        <v>9</v>
      </c>
      <c r="C2" s="10" t="str">
        <f>TEXT(Dashboard!G2,"ddd")</f>
        <v>Mon</v>
      </c>
      <c r="E2" s="25">
        <v>0.45833333333333331</v>
      </c>
      <c r="F2" s="26" t="s">
        <v>7</v>
      </c>
      <c r="G2" s="26" t="e">
        <f>INDEX(MAPD_ID,MATCH(References!$E2,MAPD_HOOP),MATCH($F2,MAPD_LOB,0))</f>
        <v>#NAME?</v>
      </c>
    </row>
    <row r="3" spans="1:7" x14ac:dyDescent="0.25">
      <c r="A3" s="10" t="s">
        <v>8</v>
      </c>
      <c r="E3" s="20">
        <v>0.47916666666666669</v>
      </c>
      <c r="F3" s="21" t="s">
        <v>7</v>
      </c>
      <c r="G3" s="26" t="e">
        <f>INDEX(MAPD_ID,MATCH(References!$E3,MAPD_HOOP),MATCH($F3,MAPD_LOB,0))</f>
        <v>#NAME?</v>
      </c>
    </row>
    <row r="4" spans="1:7" x14ac:dyDescent="0.25">
      <c r="A4" s="10" t="s">
        <v>10</v>
      </c>
      <c r="E4" s="20">
        <v>0.5</v>
      </c>
      <c r="F4" s="21" t="s">
        <v>7</v>
      </c>
      <c r="G4" s="26" t="e">
        <f>INDEX(MAPD_ID,MATCH(References!$E4,MAPD_HOOP),MATCH($F4,MAPD_LOB,0))</f>
        <v>#NAME?</v>
      </c>
    </row>
    <row r="5" spans="1:7" x14ac:dyDescent="0.25">
      <c r="A5" s="10" t="s">
        <v>7</v>
      </c>
      <c r="E5" s="20">
        <v>0.52083333333333304</v>
      </c>
      <c r="F5" s="21" t="s">
        <v>7</v>
      </c>
      <c r="G5" s="26" t="e">
        <f>INDEX(MAPD_ID,MATCH(References!$E5,MAPD_HOOP),MATCH($F5,MAPD_LOB,0))</f>
        <v>#NAME?</v>
      </c>
    </row>
    <row r="6" spans="1:7" x14ac:dyDescent="0.25">
      <c r="A6" s="10" t="s">
        <v>12</v>
      </c>
      <c r="E6" s="20">
        <v>0.54166666666666696</v>
      </c>
      <c r="F6" s="21" t="s">
        <v>7</v>
      </c>
      <c r="G6" s="26" t="e">
        <f>INDEX(MAPD_ID,MATCH(References!$E6,MAPD_HOOP),MATCH($F6,MAPD_LOB,0))</f>
        <v>#NAME?</v>
      </c>
    </row>
    <row r="7" spans="1:7" x14ac:dyDescent="0.25">
      <c r="A7" s="10" t="s">
        <v>13</v>
      </c>
      <c r="E7" s="20">
        <v>0.5625</v>
      </c>
      <c r="F7" s="21" t="s">
        <v>7</v>
      </c>
      <c r="G7" s="26" t="e">
        <f>INDEX(MAPD_ID,MATCH(References!$E7,MAPD_HOOP),MATCH($F7,MAPD_LOB,0))</f>
        <v>#NAME?</v>
      </c>
    </row>
    <row r="8" spans="1:7" x14ac:dyDescent="0.25">
      <c r="E8" s="20">
        <v>0.58333333333333304</v>
      </c>
      <c r="F8" s="21" t="s">
        <v>7</v>
      </c>
      <c r="G8" s="26" t="e">
        <f>INDEX(MAPD_ID,MATCH(References!$E8,MAPD_HOOP),MATCH($F8,MAPD_LOB,0))</f>
        <v>#NAME?</v>
      </c>
    </row>
    <row r="9" spans="1:7" x14ac:dyDescent="0.25">
      <c r="E9" s="20">
        <v>0.60416666666666696</v>
      </c>
      <c r="F9" s="21" t="s">
        <v>7</v>
      </c>
      <c r="G9" s="26" t="e">
        <f>INDEX(MAPD_ID,MATCH(References!$E9,MAPD_HOOP),MATCH($F9,MAPD_LOB,0))</f>
        <v>#NAME?</v>
      </c>
    </row>
    <row r="10" spans="1:7" x14ac:dyDescent="0.25">
      <c r="E10" s="20">
        <v>0.625</v>
      </c>
      <c r="F10" s="21" t="s">
        <v>7</v>
      </c>
      <c r="G10" s="26" t="e">
        <f>INDEX(MAPD_ID,MATCH(References!$E10,MAPD_HOOP),MATCH($F10,MAPD_LOB,0))</f>
        <v>#NAME?</v>
      </c>
    </row>
    <row r="11" spans="1:7" x14ac:dyDescent="0.25">
      <c r="E11" s="20">
        <v>0.64583333333333304</v>
      </c>
      <c r="F11" s="21" t="s">
        <v>7</v>
      </c>
      <c r="G11" s="26" t="e">
        <f>INDEX(MAPD_ID,MATCH(References!$E11,MAPD_HOOP),MATCH($F11,MAPD_LOB,0))</f>
        <v>#NAME?</v>
      </c>
    </row>
    <row r="12" spans="1:7" x14ac:dyDescent="0.25">
      <c r="E12" s="20">
        <v>0.66666666666666696</v>
      </c>
      <c r="F12" s="21" t="s">
        <v>7</v>
      </c>
      <c r="G12" s="26" t="e">
        <f>INDEX(MAPD_ID,MATCH(References!$E12,MAPD_HOOP),MATCH($F12,MAPD_LOB,0))</f>
        <v>#NAME?</v>
      </c>
    </row>
    <row r="13" spans="1:7" x14ac:dyDescent="0.25">
      <c r="E13" s="20">
        <v>0.6875</v>
      </c>
      <c r="F13" s="21" t="s">
        <v>7</v>
      </c>
      <c r="G13" s="26" t="e">
        <f>INDEX(MAPD_ID,MATCH(References!$E13,MAPD_HOOP),MATCH($F13,MAPD_LOB,0))</f>
        <v>#NAME?</v>
      </c>
    </row>
    <row r="14" spans="1:7" x14ac:dyDescent="0.25">
      <c r="E14" s="20">
        <v>0.70833333333333304</v>
      </c>
      <c r="F14" s="21" t="s">
        <v>7</v>
      </c>
      <c r="G14" s="26" t="e">
        <f>INDEX(MAPD_ID,MATCH(References!$E14,MAPD_HOOP),MATCH($F14,MAPD_LOB,0))</f>
        <v>#NAME?</v>
      </c>
    </row>
    <row r="15" spans="1:7" x14ac:dyDescent="0.25">
      <c r="E15" s="20">
        <v>0.72916666666666696</v>
      </c>
      <c r="F15" s="21" t="s">
        <v>7</v>
      </c>
      <c r="G15" s="26" t="e">
        <f>INDEX(MAPD_ID,MATCH(References!$E15,MAPD_HOOP),MATCH($F15,MAPD_LOB,0))</f>
        <v>#NAME?</v>
      </c>
    </row>
    <row r="16" spans="1:7" x14ac:dyDescent="0.25">
      <c r="E16" s="20">
        <v>0.75</v>
      </c>
      <c r="F16" s="21" t="s">
        <v>7</v>
      </c>
      <c r="G16" s="26" t="e">
        <f>INDEX(MAPD_ID,MATCH(References!$E16,MAPD_HOOP),MATCH($F16,MAPD_LOB,0))</f>
        <v>#NAME?</v>
      </c>
    </row>
    <row r="17" spans="5:7" x14ac:dyDescent="0.25">
      <c r="E17" s="20">
        <v>0.77083333333333404</v>
      </c>
      <c r="F17" s="21" t="s">
        <v>7</v>
      </c>
      <c r="G17" s="26" t="e">
        <f>INDEX(MAPD_ID,MATCH(References!$E17,MAPD_HOOP),MATCH($F17,MAPD_LOB,0))</f>
        <v>#NAME?</v>
      </c>
    </row>
    <row r="18" spans="5:7" x14ac:dyDescent="0.25">
      <c r="E18" s="20">
        <v>0.79166666666666696</v>
      </c>
      <c r="F18" s="21" t="s">
        <v>7</v>
      </c>
      <c r="G18" s="26" t="e">
        <f>INDEX(MAPD_ID,MATCH(References!$E18,MAPD_HOOP),MATCH($F18,MAPD_LOB,0))</f>
        <v>#NAME?</v>
      </c>
    </row>
    <row r="19" spans="5:7" x14ac:dyDescent="0.25">
      <c r="E19" s="20">
        <v>0.8125</v>
      </c>
      <c r="F19" s="21" t="s">
        <v>7</v>
      </c>
      <c r="G19" s="26" t="e">
        <f>INDEX(MAPD_ID,MATCH(References!$E19,MAPD_HOOP),MATCH($F19,MAPD_LOB,0))</f>
        <v>#NAME?</v>
      </c>
    </row>
    <row r="20" spans="5:7" x14ac:dyDescent="0.25">
      <c r="E20" s="20">
        <v>0.33333333333333331</v>
      </c>
      <c r="F20" s="21" t="s">
        <v>9</v>
      </c>
      <c r="G20" s="26" t="e">
        <f>INDEX(MedPro_ID,MATCH(References!$E20,MedPro_HOOP),MATCH($F20,MedPro_LOB,0))</f>
        <v>#NAME?</v>
      </c>
    </row>
    <row r="21" spans="5:7" x14ac:dyDescent="0.25">
      <c r="E21" s="20">
        <v>0.35416666666666669</v>
      </c>
      <c r="F21" s="21" t="s">
        <v>9</v>
      </c>
      <c r="G21" s="26" t="e">
        <f>INDEX(MedPro_ID,MATCH(References!$E21,MedPro_HOOP),MATCH($F21,MedPro_LOB,0))</f>
        <v>#NAME?</v>
      </c>
    </row>
    <row r="22" spans="5:7" x14ac:dyDescent="0.25">
      <c r="E22" s="20">
        <v>0.375</v>
      </c>
      <c r="F22" s="21" t="s">
        <v>9</v>
      </c>
      <c r="G22" s="26" t="e">
        <f>INDEX(MedPro_ID,MATCH(References!$E22,MedPro_HOOP),MATCH($F22,MedPro_LOB,0))</f>
        <v>#NAME?</v>
      </c>
    </row>
    <row r="23" spans="5:7" x14ac:dyDescent="0.25">
      <c r="E23" s="20">
        <v>0.39583333333333298</v>
      </c>
      <c r="F23" s="21" t="s">
        <v>9</v>
      </c>
      <c r="G23" s="26" t="e">
        <f>INDEX(MedPro_ID,MATCH(References!$E23,MedPro_HOOP),MATCH($F23,MedPro_LOB,0))</f>
        <v>#NAME?</v>
      </c>
    </row>
    <row r="24" spans="5:7" x14ac:dyDescent="0.25">
      <c r="E24" s="20">
        <v>0.41666666666666702</v>
      </c>
      <c r="F24" s="21" t="s">
        <v>9</v>
      </c>
      <c r="G24" s="26" t="e">
        <f>INDEX(MedPro_ID,MATCH(References!$E24,MedPro_HOOP),MATCH($F24,MedPro_LOB,0))</f>
        <v>#NAME?</v>
      </c>
    </row>
    <row r="25" spans="5:7" x14ac:dyDescent="0.25">
      <c r="E25" s="20">
        <v>0.4375</v>
      </c>
      <c r="F25" s="21" t="s">
        <v>9</v>
      </c>
      <c r="G25" s="26" t="e">
        <f>INDEX(MedPro_ID,MATCH(References!$E25,MedPro_HOOP),MATCH($F25,MedPro_LOB,0))</f>
        <v>#NAME?</v>
      </c>
    </row>
    <row r="26" spans="5:7" x14ac:dyDescent="0.25">
      <c r="E26" s="20">
        <v>0.45833333333333298</v>
      </c>
      <c r="F26" s="21" t="s">
        <v>9</v>
      </c>
      <c r="G26" s="26" t="e">
        <f>INDEX(MedPro_ID,MATCH(References!$E26,MedPro_HOOP),MATCH($F26,MedPro_LOB,0))</f>
        <v>#NAME?</v>
      </c>
    </row>
    <row r="27" spans="5:7" x14ac:dyDescent="0.25">
      <c r="E27" s="20">
        <v>0.47916666666666702</v>
      </c>
      <c r="F27" s="21" t="s">
        <v>9</v>
      </c>
      <c r="G27" s="26" t="e">
        <f>INDEX(MedPro_ID,MATCH(References!$E27,MedPro_HOOP),MATCH($F27,MedPro_LOB,0))</f>
        <v>#NAME?</v>
      </c>
    </row>
    <row r="28" spans="5:7" x14ac:dyDescent="0.25">
      <c r="E28" s="20">
        <v>0.5</v>
      </c>
      <c r="F28" s="21" t="s">
        <v>9</v>
      </c>
      <c r="G28" s="26" t="e">
        <f>INDEX(MedPro_ID,MATCH(References!$E28,MedPro_HOOP),MATCH($F28,MedPro_LOB,0))</f>
        <v>#NAME?</v>
      </c>
    </row>
    <row r="29" spans="5:7" x14ac:dyDescent="0.25">
      <c r="E29" s="20">
        <v>0.52083333333333304</v>
      </c>
      <c r="F29" s="21" t="s">
        <v>9</v>
      </c>
      <c r="G29" s="26" t="e">
        <f>INDEX(MedPro_ID,MATCH(References!$E29,MedPro_HOOP),MATCH($F29,MedPro_LOB,0))</f>
        <v>#NAME?</v>
      </c>
    </row>
    <row r="30" spans="5:7" x14ac:dyDescent="0.25">
      <c r="E30" s="20">
        <v>0.54166666666666696</v>
      </c>
      <c r="F30" s="21" t="s">
        <v>9</v>
      </c>
      <c r="G30" s="26" t="e">
        <f>INDEX(MedPro_ID,MATCH(References!$E30,MedPro_HOOP),MATCH($F30,MedPro_LOB,0))</f>
        <v>#NAME?</v>
      </c>
    </row>
    <row r="31" spans="5:7" x14ac:dyDescent="0.25">
      <c r="E31" s="20">
        <v>0.5625</v>
      </c>
      <c r="F31" s="21" t="s">
        <v>9</v>
      </c>
      <c r="G31" s="26" t="e">
        <f>INDEX(MedPro_ID,MATCH(References!$E31,MedPro_HOOP),MATCH($F31,MedPro_LOB,0))</f>
        <v>#NAME?</v>
      </c>
    </row>
    <row r="32" spans="5:7" x14ac:dyDescent="0.25">
      <c r="E32" s="20">
        <v>0.58333333333333304</v>
      </c>
      <c r="F32" s="21" t="s">
        <v>9</v>
      </c>
      <c r="G32" s="26" t="e">
        <f>INDEX(MedPro_ID,MATCH(References!$E32,MedPro_HOOP),MATCH($F32,MedPro_LOB,0))</f>
        <v>#NAME?</v>
      </c>
    </row>
    <row r="33" spans="5:7" x14ac:dyDescent="0.25">
      <c r="E33" s="20">
        <v>0.60416666666666696</v>
      </c>
      <c r="F33" s="21" t="s">
        <v>9</v>
      </c>
      <c r="G33" s="26" t="e">
        <f>INDEX(MedPro_ID,MATCH(References!$E33,MedPro_HOOP),MATCH($F33,MedPro_LOB,0))</f>
        <v>#NAME?</v>
      </c>
    </row>
    <row r="34" spans="5:7" x14ac:dyDescent="0.25">
      <c r="E34" s="20">
        <v>0.625</v>
      </c>
      <c r="F34" s="21" t="s">
        <v>9</v>
      </c>
      <c r="G34" s="26" t="e">
        <f>INDEX(MedPro_ID,MATCH(References!$E34,MedPro_HOOP),MATCH($F34,MedPro_LOB,0))</f>
        <v>#NAME?</v>
      </c>
    </row>
    <row r="35" spans="5:7" x14ac:dyDescent="0.25">
      <c r="E35" s="20">
        <v>0.64583333333333404</v>
      </c>
      <c r="F35" s="21" t="s">
        <v>9</v>
      </c>
      <c r="G35" s="26" t="e">
        <f>INDEX(MedPro_ID,MATCH(References!$E35,MedPro_HOOP),MATCH($F35,MedPro_LOB,0))</f>
        <v>#NAME?</v>
      </c>
    </row>
    <row r="36" spans="5:7" x14ac:dyDescent="0.25">
      <c r="E36" s="20">
        <v>0.66666666666666696</v>
      </c>
      <c r="F36" s="21" t="s">
        <v>9</v>
      </c>
      <c r="G36" s="26" t="e">
        <f>INDEX(MedPro_ID,MATCH(References!$E36,MedPro_HOOP),MATCH($F36,MedPro_LOB,0))</f>
        <v>#NAME?</v>
      </c>
    </row>
    <row r="37" spans="5:7" x14ac:dyDescent="0.25">
      <c r="E37" s="20">
        <v>0.6875</v>
      </c>
      <c r="F37" s="21" t="s">
        <v>9</v>
      </c>
      <c r="G37" s="26" t="e">
        <f>INDEX(MedPro_ID,MATCH(References!$E37,MedPro_HOOP),MATCH($F37,MedPro_LOB,0))</f>
        <v>#NAME?</v>
      </c>
    </row>
    <row r="38" spans="5:7" x14ac:dyDescent="0.25">
      <c r="E38" s="20">
        <v>0.70833333333333404</v>
      </c>
      <c r="F38" s="21" t="s">
        <v>9</v>
      </c>
      <c r="G38" s="26" t="e">
        <f>INDEX(MedPro_ID,MATCH(References!$E38,MedPro_HOOP),MATCH($F38,MedPro_LOB,0))</f>
        <v>#NAME?</v>
      </c>
    </row>
    <row r="39" spans="5:7" x14ac:dyDescent="0.25">
      <c r="E39" s="20">
        <v>0.72916666666666696</v>
      </c>
      <c r="F39" s="21" t="s">
        <v>9</v>
      </c>
      <c r="G39" s="26" t="e">
        <f>INDEX(MedPro_ID,MATCH(References!$E39,MedPro_HOOP),MATCH($F39,MedPro_LOB,0))</f>
        <v>#NAME?</v>
      </c>
    </row>
    <row r="40" spans="5:7" x14ac:dyDescent="0.25">
      <c r="E40" s="20">
        <v>0.75</v>
      </c>
      <c r="F40" s="21" t="s">
        <v>9</v>
      </c>
      <c r="G40" s="26" t="e">
        <f>INDEX(MedPro_ID,MATCH(References!$E40,MedPro_HOOP),MATCH($F40,MedPro_LOB,0))</f>
        <v>#NAME?</v>
      </c>
    </row>
    <row r="41" spans="5:7" x14ac:dyDescent="0.25">
      <c r="E41" s="20">
        <v>0.77083333333333404</v>
      </c>
      <c r="F41" s="21" t="s">
        <v>9</v>
      </c>
      <c r="G41" s="26" t="e">
        <f>INDEX(MedPro_ID,MATCH(References!$E41,MedPro_HOOP),MATCH($F41,MedPro_LOB,0))</f>
        <v>#NAME?</v>
      </c>
    </row>
    <row r="42" spans="5:7" x14ac:dyDescent="0.25">
      <c r="E42" s="20">
        <v>0.79166666666666696</v>
      </c>
      <c r="F42" s="21" t="s">
        <v>9</v>
      </c>
      <c r="G42" s="26" t="e">
        <f>INDEX(MedPro_ID,MATCH(References!$E42,MedPro_HOOP),MATCH($F42,MedPro_LOB,0))</f>
        <v>#NAME?</v>
      </c>
    </row>
    <row r="43" spans="5:7" x14ac:dyDescent="0.25">
      <c r="E43" s="20">
        <v>0.812500000000001</v>
      </c>
      <c r="F43" s="21" t="s">
        <v>9</v>
      </c>
      <c r="G43" s="26" t="e">
        <f>INDEX(MedPro_ID,MATCH(References!$E43,MedPro_HOOP),MATCH($F43,MedPro_LOB,0))</f>
        <v>#NAME?</v>
      </c>
    </row>
    <row r="44" spans="5:7" x14ac:dyDescent="0.25">
      <c r="E44" s="20">
        <v>0.33333333333333331</v>
      </c>
      <c r="F44" s="21" t="s">
        <v>8</v>
      </c>
      <c r="G44" s="26" t="e">
        <f>INDEX(PMHS_ID,MATCH(References!$E44,PMHS_HOOP),MATCH($F44,PMHS_LOB,0))</f>
        <v>#NAME?</v>
      </c>
    </row>
    <row r="45" spans="5:7" x14ac:dyDescent="0.25">
      <c r="E45" s="20">
        <v>0.35416666666666669</v>
      </c>
      <c r="F45" s="21" t="s">
        <v>8</v>
      </c>
      <c r="G45" s="26" t="e">
        <f>INDEX(PMHS_ID,MATCH(References!$E45,PMHS_HOOP),MATCH($F45,PMHS_LOB,0))</f>
        <v>#NAME?</v>
      </c>
    </row>
    <row r="46" spans="5:7" x14ac:dyDescent="0.25">
      <c r="E46" s="20">
        <v>0.375</v>
      </c>
      <c r="F46" s="21" t="s">
        <v>8</v>
      </c>
      <c r="G46" s="26" t="e">
        <f>INDEX(PMHS_ID,MATCH(References!$E46,PMHS_HOOP),MATCH($F46,PMHS_LOB,0))</f>
        <v>#NAME?</v>
      </c>
    </row>
    <row r="47" spans="5:7" x14ac:dyDescent="0.25">
      <c r="E47" s="20">
        <v>0.39583333333333298</v>
      </c>
      <c r="F47" s="21" t="s">
        <v>8</v>
      </c>
      <c r="G47" s="26" t="e">
        <f>INDEX(PMHS_ID,MATCH(References!$E47,PMHS_HOOP),MATCH($F47,PMHS_LOB,0))</f>
        <v>#NAME?</v>
      </c>
    </row>
    <row r="48" spans="5:7" x14ac:dyDescent="0.25">
      <c r="E48" s="20">
        <v>0.41666666666666702</v>
      </c>
      <c r="F48" s="21" t="s">
        <v>8</v>
      </c>
      <c r="G48" s="26" t="e">
        <f>INDEX(PMHS_ID,MATCH(References!$E48,PMHS_HOOP),MATCH($F48,PMHS_LOB,0))</f>
        <v>#NAME?</v>
      </c>
    </row>
    <row r="49" spans="5:7" x14ac:dyDescent="0.25">
      <c r="E49" s="20">
        <v>0.4375</v>
      </c>
      <c r="F49" s="21" t="s">
        <v>8</v>
      </c>
      <c r="G49" s="26" t="e">
        <f>INDEX(PMHS_ID,MATCH(References!$E49,PMHS_HOOP),MATCH($F49,PMHS_LOB,0))</f>
        <v>#NAME?</v>
      </c>
    </row>
    <row r="50" spans="5:7" x14ac:dyDescent="0.25">
      <c r="E50" s="20">
        <v>0.45833333333333298</v>
      </c>
      <c r="F50" s="21" t="s">
        <v>8</v>
      </c>
      <c r="G50" s="26" t="e">
        <f>INDEX(PMHS_ID,MATCH(References!$E50,PMHS_HOOP),MATCH($F50,PMHS_LOB,0))</f>
        <v>#NAME?</v>
      </c>
    </row>
    <row r="51" spans="5:7" x14ac:dyDescent="0.25">
      <c r="E51" s="20">
        <v>0.47916666666666702</v>
      </c>
      <c r="F51" s="21" t="s">
        <v>8</v>
      </c>
      <c r="G51" s="26" t="e">
        <f>INDEX(PMHS_ID,MATCH(References!$E51,PMHS_HOOP),MATCH($F51,PMHS_LOB,0))</f>
        <v>#NAME?</v>
      </c>
    </row>
    <row r="52" spans="5:7" x14ac:dyDescent="0.25">
      <c r="E52" s="20">
        <v>0.5</v>
      </c>
      <c r="F52" s="21" t="s">
        <v>8</v>
      </c>
      <c r="G52" s="26" t="e">
        <f>INDEX(PMHS_ID,MATCH(References!$E52,PMHS_HOOP),MATCH($F52,PMHS_LOB,0))</f>
        <v>#NAME?</v>
      </c>
    </row>
    <row r="53" spans="5:7" x14ac:dyDescent="0.25">
      <c r="E53" s="20">
        <v>0.52083333333333304</v>
      </c>
      <c r="F53" s="21" t="s">
        <v>8</v>
      </c>
      <c r="G53" s="26" t="e">
        <f>INDEX(PMHS_ID,MATCH(References!$E53,PMHS_HOOP),MATCH($F53,PMHS_LOB,0))</f>
        <v>#NAME?</v>
      </c>
    </row>
    <row r="54" spans="5:7" x14ac:dyDescent="0.25">
      <c r="E54" s="20">
        <v>0.54166666666666696</v>
      </c>
      <c r="F54" s="21" t="s">
        <v>8</v>
      </c>
      <c r="G54" s="26" t="e">
        <f>INDEX(PMHS_ID,MATCH(References!$E54,PMHS_HOOP),MATCH($F54,PMHS_LOB,0))</f>
        <v>#NAME?</v>
      </c>
    </row>
    <row r="55" spans="5:7" x14ac:dyDescent="0.25">
      <c r="E55" s="20">
        <v>0.5625</v>
      </c>
      <c r="F55" s="21" t="s">
        <v>8</v>
      </c>
      <c r="G55" s="26" t="e">
        <f>INDEX(PMHS_ID,MATCH(References!$E55,PMHS_HOOP),MATCH($F55,PMHS_LOB,0))</f>
        <v>#NAME?</v>
      </c>
    </row>
    <row r="56" spans="5:7" x14ac:dyDescent="0.25">
      <c r="E56" s="20">
        <v>0.58333333333333304</v>
      </c>
      <c r="F56" s="21" t="s">
        <v>8</v>
      </c>
      <c r="G56" s="26" t="e">
        <f>INDEX(PMHS_ID,MATCH(References!$E56,PMHS_HOOP),MATCH($F56,PMHS_LOB,0))</f>
        <v>#NAME?</v>
      </c>
    </row>
    <row r="57" spans="5:7" x14ac:dyDescent="0.25">
      <c r="E57" s="20">
        <v>0.60416666666666696</v>
      </c>
      <c r="F57" s="21" t="s">
        <v>8</v>
      </c>
      <c r="G57" s="26" t="e">
        <f>INDEX(PMHS_ID,MATCH(References!$E57,PMHS_HOOP),MATCH($F57,PMHS_LOB,0))</f>
        <v>#NAME?</v>
      </c>
    </row>
    <row r="58" spans="5:7" x14ac:dyDescent="0.25">
      <c r="E58" s="20">
        <v>0.625</v>
      </c>
      <c r="F58" s="21" t="s">
        <v>8</v>
      </c>
      <c r="G58" s="26" t="e">
        <f>INDEX(PMHS_ID,MATCH(References!$E58,PMHS_HOOP),MATCH($F58,PMHS_LOB,0))</f>
        <v>#NAME?</v>
      </c>
    </row>
    <row r="59" spans="5:7" x14ac:dyDescent="0.25">
      <c r="E59" s="20">
        <v>0.64583333333333404</v>
      </c>
      <c r="F59" s="21" t="s">
        <v>8</v>
      </c>
      <c r="G59" s="26" t="e">
        <f>INDEX(PMHS_ID,MATCH(References!$E59,PMHS_HOOP),MATCH($F59,PMHS_LOB,0))</f>
        <v>#NAME?</v>
      </c>
    </row>
    <row r="60" spans="5:7" x14ac:dyDescent="0.25">
      <c r="E60" s="20">
        <v>0.66666666666666696</v>
      </c>
      <c r="F60" s="21" t="s">
        <v>8</v>
      </c>
      <c r="G60" s="26" t="e">
        <f>INDEX(PMHS_ID,MATCH(References!$E60,PMHS_HOOP),MATCH($F60,PMHS_LOB,0))</f>
        <v>#NAME?</v>
      </c>
    </row>
    <row r="61" spans="5:7" x14ac:dyDescent="0.25">
      <c r="E61" s="20">
        <v>0.6875</v>
      </c>
      <c r="F61" s="21" t="s">
        <v>8</v>
      </c>
      <c r="G61" s="26" t="e">
        <f>INDEX(PMHS_ID,MATCH(References!$E61,PMHS_HOOP),MATCH($F61,PMHS_LOB,0))</f>
        <v>#NAME?</v>
      </c>
    </row>
    <row r="62" spans="5:7" x14ac:dyDescent="0.25">
      <c r="E62" s="20">
        <v>0.70833333333333404</v>
      </c>
      <c r="F62" s="21" t="s">
        <v>8</v>
      </c>
      <c r="G62" s="26" t="e">
        <f>INDEX(PMHS_ID,MATCH(References!$E62,PMHS_HOOP),MATCH($F62,PMHS_LOB,0))</f>
        <v>#NAME?</v>
      </c>
    </row>
    <row r="63" spans="5:7" x14ac:dyDescent="0.25">
      <c r="E63" s="20">
        <v>0.72916666666666696</v>
      </c>
      <c r="F63" s="21" t="s">
        <v>8</v>
      </c>
      <c r="G63" s="26" t="e">
        <f>INDEX(PMHS_ID,MATCH(References!$E63,PMHS_HOOP),MATCH($F63,PMHS_LOB,0))</f>
        <v>#NAME?</v>
      </c>
    </row>
    <row r="64" spans="5:7" x14ac:dyDescent="0.25">
      <c r="E64" s="20">
        <v>0.75</v>
      </c>
      <c r="F64" s="21" t="s">
        <v>8</v>
      </c>
      <c r="G64" s="26" t="e">
        <f>INDEX(PMHS_ID,MATCH(References!$E64,PMHS_HOOP),MATCH($F64,PMHS_LOB,0))</f>
        <v>#NAME?</v>
      </c>
    </row>
    <row r="65" spans="5:7" x14ac:dyDescent="0.25">
      <c r="E65" s="20">
        <v>0.77083333333333404</v>
      </c>
      <c r="F65" s="21" t="s">
        <v>8</v>
      </c>
      <c r="G65" s="26" t="e">
        <f>INDEX(PMHS_ID,MATCH(References!$E65,PMHS_HOOP),MATCH($F65,PMHS_LOB,0))</f>
        <v>#NAME?</v>
      </c>
    </row>
    <row r="66" spans="5:7" x14ac:dyDescent="0.25">
      <c r="E66" s="20">
        <v>0.79166666666666696</v>
      </c>
      <c r="F66" s="21" t="s">
        <v>8</v>
      </c>
      <c r="G66" s="26" t="e">
        <f>INDEX(PMHS_ID,MATCH(References!$E66,PMHS_HOOP),MATCH($F66,PMHS_LOB,0))</f>
        <v>#NAME?</v>
      </c>
    </row>
    <row r="67" spans="5:7" x14ac:dyDescent="0.25">
      <c r="E67" s="20">
        <v>0.812500000000001</v>
      </c>
      <c r="F67" s="21" t="s">
        <v>8</v>
      </c>
      <c r="G67" s="26" t="e">
        <f>INDEX(PMHS_ID,MATCH(References!$E67,PMHS_HOOP),MATCH($F67,PMHS_LOB,0))</f>
        <v>#NAME?</v>
      </c>
    </row>
    <row r="68" spans="5:7" x14ac:dyDescent="0.25">
      <c r="E68" s="20">
        <v>0.29166666666666669</v>
      </c>
      <c r="F68" s="21" t="s">
        <v>10</v>
      </c>
      <c r="G68" s="26" t="e">
        <f>INDEX(PWR_ID,MATCH(References!$E68,PWR_HOOP),MATCH($F68,PWR_LOB,0))</f>
        <v>#NAME?</v>
      </c>
    </row>
    <row r="69" spans="5:7" x14ac:dyDescent="0.25">
      <c r="E69" s="20">
        <v>0.3125</v>
      </c>
      <c r="F69" s="21" t="s">
        <v>10</v>
      </c>
      <c r="G69" s="26" t="e">
        <f>INDEX(PWR_ID,MATCH(References!$E69,PWR_HOOP),MATCH($F69,PWR_LOB,0))</f>
        <v>#NAME?</v>
      </c>
    </row>
    <row r="70" spans="5:7" x14ac:dyDescent="0.25">
      <c r="E70" s="20">
        <v>0.33333333333333298</v>
      </c>
      <c r="F70" s="21" t="s">
        <v>10</v>
      </c>
      <c r="G70" s="26" t="e">
        <f>INDEX(PWR_ID,MATCH(References!$E70,PWR_HOOP),MATCH($F70,PWR_LOB,0))</f>
        <v>#NAME?</v>
      </c>
    </row>
    <row r="71" spans="5:7" x14ac:dyDescent="0.25">
      <c r="E71" s="20">
        <v>0.35416666666666702</v>
      </c>
      <c r="F71" s="21" t="s">
        <v>10</v>
      </c>
      <c r="G71" s="26" t="e">
        <f>INDEX(PWR_ID,MATCH(References!$E71,PWR_HOOP),MATCH($F71,PWR_LOB,0))</f>
        <v>#NAME?</v>
      </c>
    </row>
    <row r="72" spans="5:7" x14ac:dyDescent="0.25">
      <c r="E72" s="20">
        <v>0.375</v>
      </c>
      <c r="F72" s="21" t="s">
        <v>10</v>
      </c>
      <c r="G72" s="26" t="e">
        <f>INDEX(PWR_ID,MATCH(References!$E72,PWR_HOOP),MATCH($F72,PWR_LOB,0))</f>
        <v>#NAME?</v>
      </c>
    </row>
    <row r="73" spans="5:7" x14ac:dyDescent="0.25">
      <c r="E73" s="20">
        <v>0.39583333333333398</v>
      </c>
      <c r="F73" s="21" t="s">
        <v>10</v>
      </c>
      <c r="G73" s="26" t="e">
        <f>INDEX(PWR_ID,MATCH(References!$E73,PWR_HOOP),MATCH($F73,PWR_LOB,0))</f>
        <v>#NAME?</v>
      </c>
    </row>
    <row r="74" spans="5:7" x14ac:dyDescent="0.25">
      <c r="E74" s="20">
        <v>0.41666666666666702</v>
      </c>
      <c r="F74" s="21" t="s">
        <v>10</v>
      </c>
      <c r="G74" s="26" t="e">
        <f>INDEX(PWR_ID,MATCH(References!$E74,PWR_HOOP),MATCH($F74,PWR_LOB,0))</f>
        <v>#NAME?</v>
      </c>
    </row>
    <row r="75" spans="5:7" x14ac:dyDescent="0.25">
      <c r="E75" s="20">
        <v>0.4375</v>
      </c>
      <c r="F75" s="21" t="s">
        <v>10</v>
      </c>
      <c r="G75" s="26" t="e">
        <f>INDEX(PWR_ID,MATCH(References!$E75,PWR_HOOP),MATCH($F75,PWR_LOB,0))</f>
        <v>#NAME?</v>
      </c>
    </row>
    <row r="76" spans="5:7" x14ac:dyDescent="0.25">
      <c r="E76" s="20">
        <v>0.45833333333333398</v>
      </c>
      <c r="F76" s="21" t="s">
        <v>10</v>
      </c>
      <c r="G76" s="26" t="e">
        <f>INDEX(PWR_ID,MATCH(References!$E76,PWR_HOOP),MATCH($F76,PWR_LOB,0))</f>
        <v>#NAME?</v>
      </c>
    </row>
    <row r="77" spans="5:7" x14ac:dyDescent="0.25">
      <c r="E77" s="20">
        <v>0.47916666666666702</v>
      </c>
      <c r="F77" s="21" t="s">
        <v>10</v>
      </c>
      <c r="G77" s="26" t="e">
        <f>INDEX(PWR_ID,MATCH(References!$E77,PWR_HOOP),MATCH($F77,PWR_LOB,0))</f>
        <v>#NAME?</v>
      </c>
    </row>
    <row r="78" spans="5:7" x14ac:dyDescent="0.25">
      <c r="E78" s="20">
        <v>0.5</v>
      </c>
      <c r="F78" s="21" t="s">
        <v>10</v>
      </c>
      <c r="G78" s="26" t="e">
        <f>INDEX(PWR_ID,MATCH(References!$E78,PWR_HOOP),MATCH($F78,PWR_LOB,0))</f>
        <v>#NAME?</v>
      </c>
    </row>
    <row r="79" spans="5:7" x14ac:dyDescent="0.25">
      <c r="E79" s="20">
        <v>0.52083333333333304</v>
      </c>
      <c r="F79" s="21" t="s">
        <v>10</v>
      </c>
      <c r="G79" s="26" t="e">
        <f>INDEX(PWR_ID,MATCH(References!$E79,PWR_HOOP),MATCH($F79,PWR_LOB,0))</f>
        <v>#NAME?</v>
      </c>
    </row>
    <row r="80" spans="5:7" x14ac:dyDescent="0.25">
      <c r="E80" s="20">
        <v>0.54166666666666696</v>
      </c>
      <c r="F80" s="21" t="s">
        <v>10</v>
      </c>
      <c r="G80" s="26" t="e">
        <f>INDEX(PWR_ID,MATCH(References!$E80,PWR_HOOP),MATCH($F80,PWR_LOB,0))</f>
        <v>#NAME?</v>
      </c>
    </row>
    <row r="81" spans="5:7" x14ac:dyDescent="0.25">
      <c r="E81" s="20">
        <v>0.5625</v>
      </c>
      <c r="F81" s="21" t="s">
        <v>10</v>
      </c>
      <c r="G81" s="26" t="e">
        <f>INDEX(PWR_ID,MATCH(References!$E81,PWR_HOOP),MATCH($F81,PWR_LOB,0))</f>
        <v>#NAME?</v>
      </c>
    </row>
    <row r="82" spans="5:7" x14ac:dyDescent="0.25">
      <c r="E82" s="20">
        <v>0.58333333333333304</v>
      </c>
      <c r="F82" s="21" t="s">
        <v>10</v>
      </c>
      <c r="G82" s="26" t="e">
        <f>INDEX(PWR_ID,MATCH(References!$E82,PWR_HOOP),MATCH($F82,PWR_LOB,0))</f>
        <v>#NAME?</v>
      </c>
    </row>
    <row r="83" spans="5:7" x14ac:dyDescent="0.25">
      <c r="E83" s="20">
        <v>0.60416666666666696</v>
      </c>
      <c r="F83" s="21" t="s">
        <v>10</v>
      </c>
      <c r="G83" s="26" t="e">
        <f>INDEX(PWR_ID,MATCH(References!$E83,PWR_HOOP),MATCH($F83,PWR_LOB,0))</f>
        <v>#NAME?</v>
      </c>
    </row>
    <row r="84" spans="5:7" x14ac:dyDescent="0.25">
      <c r="E84" s="20">
        <v>0.625</v>
      </c>
      <c r="F84" s="21" t="s">
        <v>10</v>
      </c>
      <c r="G84" s="26" t="e">
        <f>INDEX(PWR_ID,MATCH(References!$E84,PWR_HOOP),MATCH($F84,PWR_LOB,0))</f>
        <v>#NAME?</v>
      </c>
    </row>
    <row r="85" spans="5:7" x14ac:dyDescent="0.25">
      <c r="E85" s="20">
        <v>0.64583333333333304</v>
      </c>
      <c r="F85" s="21" t="s">
        <v>10</v>
      </c>
      <c r="G85" s="26" t="e">
        <f>INDEX(PWR_ID,MATCH(References!$E85,PWR_HOOP),MATCH($F85,PWR_LOB,0))</f>
        <v>#NAME?</v>
      </c>
    </row>
    <row r="86" spans="5:7" x14ac:dyDescent="0.25">
      <c r="E86" s="20">
        <v>0.66666666666666696</v>
      </c>
      <c r="F86" s="21" t="s">
        <v>10</v>
      </c>
      <c r="G86" s="26" t="e">
        <f>INDEX(PWR_ID,MATCH(References!$E86,PWR_HOOP),MATCH($F86,PWR_LOB,0))</f>
        <v>#NAME?</v>
      </c>
    </row>
    <row r="87" spans="5:7" x14ac:dyDescent="0.25">
      <c r="E87" s="20">
        <v>0.6875</v>
      </c>
      <c r="F87" s="21" t="s">
        <v>10</v>
      </c>
      <c r="G87" s="26" t="e">
        <f>INDEX(PWR_ID,MATCH(References!$E87,PWR_HOOP),MATCH($F87,PWR_LOB,0))</f>
        <v>#NAME?</v>
      </c>
    </row>
    <row r="88" spans="5:7" x14ac:dyDescent="0.25">
      <c r="E88" s="20">
        <v>0.70833333333333304</v>
      </c>
      <c r="F88" s="21" t="s">
        <v>10</v>
      </c>
      <c r="G88" s="26" t="e">
        <f>INDEX(PWR_ID,MATCH(References!$E88,PWR_HOOP),MATCH($F88,PWR_LOB,0))</f>
        <v>#NAME?</v>
      </c>
    </row>
    <row r="89" spans="5:7" x14ac:dyDescent="0.25">
      <c r="E89" s="20">
        <v>0.72916666666666696</v>
      </c>
      <c r="F89" s="21" t="s">
        <v>10</v>
      </c>
      <c r="G89" s="26" t="e">
        <f>INDEX(PWR_ID,MATCH(References!$E89,PWR_HOOP),MATCH($F89,PWR_LOB,0))</f>
        <v>#NAME?</v>
      </c>
    </row>
    <row r="90" spans="5:7" x14ac:dyDescent="0.25">
      <c r="E90" s="20">
        <v>0.75</v>
      </c>
      <c r="F90" s="21" t="s">
        <v>10</v>
      </c>
      <c r="G90" s="26" t="e">
        <f>INDEX(PWR_ID,MATCH(References!$E90,PWR_HOOP),MATCH($F90,PWR_LOB,0))</f>
        <v>#NAME?</v>
      </c>
    </row>
    <row r="91" spans="5:7" x14ac:dyDescent="0.25">
      <c r="E91" s="22">
        <v>0.77083333333333304</v>
      </c>
      <c r="F91" s="27" t="s">
        <v>10</v>
      </c>
      <c r="G91" s="26" t="e">
        <f>INDEX(PWR_ID,MATCH(References!$E91,PWR_HOOP),MATCH($F91,PWR_LOB,0))</f>
        <v>#NAME?</v>
      </c>
    </row>
    <row r="92" spans="5:7" x14ac:dyDescent="0.25">
      <c r="E92" s="23"/>
      <c r="F92" s="23"/>
      <c r="G92" s="23"/>
    </row>
    <row r="93" spans="5:7" x14ac:dyDescent="0.25">
      <c r="E93" s="23"/>
      <c r="F93" s="23"/>
      <c r="G93" s="23"/>
    </row>
    <row r="94" spans="5:7" x14ac:dyDescent="0.25">
      <c r="E94" s="23"/>
      <c r="F94" s="23"/>
      <c r="G94" s="23"/>
    </row>
    <row r="95" spans="5:7" x14ac:dyDescent="0.25">
      <c r="E95" s="23"/>
      <c r="F95" s="23"/>
      <c r="G95" s="23"/>
    </row>
    <row r="96" spans="5:7" x14ac:dyDescent="0.25">
      <c r="E96" s="23"/>
      <c r="F96" s="23"/>
      <c r="G96" s="23"/>
    </row>
    <row r="97" spans="5:7" x14ac:dyDescent="0.25">
      <c r="E97" s="23"/>
      <c r="F97" s="23"/>
      <c r="G97" s="23"/>
    </row>
    <row r="98" spans="5:7" x14ac:dyDescent="0.25">
      <c r="E98" s="23"/>
      <c r="F98" s="23"/>
      <c r="G98" s="23"/>
    </row>
    <row r="99" spans="5:7" x14ac:dyDescent="0.25">
      <c r="E99" s="23"/>
      <c r="F99" s="23"/>
      <c r="G99" s="23"/>
    </row>
    <row r="100" spans="5:7" x14ac:dyDescent="0.25">
      <c r="E100" s="23"/>
      <c r="F100" s="23"/>
      <c r="G100" s="23"/>
    </row>
  </sheetData>
  <conditionalFormatting sqref="E2:G100">
    <cfRule type="expression" dxfId="3" priority="1">
      <formula>$F2="MedPro"</formula>
    </cfRule>
    <cfRule type="expression" dxfId="2" priority="2">
      <formula>$F2="PMHS"</formula>
    </cfRule>
    <cfRule type="expression" dxfId="1" priority="3">
      <formula>$F2="PWR"</formula>
    </cfRule>
    <cfRule type="expression" dxfId="0" priority="4">
      <formula>$F2="MAPD"</formula>
    </cfRule>
  </conditionalFormatting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Dashboard</vt:lpstr>
      <vt:lpstr>DumpFile</vt:lpstr>
      <vt:lpstr>Distro</vt:lpstr>
      <vt:lpstr>References</vt:lpstr>
      <vt:lpstr>Clr_Open</vt:lpstr>
      <vt:lpstr>Copy_Open_src</vt:lpstr>
      <vt:lpstr>LOB_HOOP</vt:lpstr>
      <vt:lpstr>LOB_ID</vt:lpstr>
      <vt:lpstr>LOB_src</vt:lpstr>
      <vt:lpstr>MAPD_HOOP</vt:lpstr>
      <vt:lpstr>MAPD_ID</vt:lpstr>
      <vt:lpstr>MedPro_HOOP</vt:lpstr>
      <vt:lpstr>MedPro_ID</vt:lpstr>
      <vt:lpstr>Open_MAPD</vt:lpstr>
      <vt:lpstr>Open_MedPro</vt:lpstr>
      <vt:lpstr>Open_PMHS</vt:lpstr>
      <vt:lpstr>Open_PWR</vt:lpstr>
      <vt:lpstr>PMHS_HOOP</vt:lpstr>
      <vt:lpstr>PMHS_ID</vt:lpstr>
      <vt:lpstr>Pst_Open</vt:lpstr>
      <vt:lpstr>PWR_HOOP</vt:lpstr>
      <vt:lpstr>PWR_ID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Rio Decz</dc:creator>
  <cp:lastModifiedBy>Rio Decz</cp:lastModifiedBy>
  <dcterms:created xsi:type="dcterms:W3CDTF">2021-10-11T04:23:04Z</dcterms:created>
  <dcterms:modified xsi:type="dcterms:W3CDTF">2021-11-03T01:29:36Z</dcterms:modified>
</cp:coreProperties>
</file>
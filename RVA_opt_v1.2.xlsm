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Excel_Projects\WFM\"/>
    </mc:Choice>
  </mc:AlternateContent>
  <bookViews>
    <workbookView xWindow="0" yWindow="0" windowWidth="14835" windowHeight="7380"/>
  </bookViews>
  <sheets>
    <sheet name="Dashboard" sheetId="1" r:id="rId1"/>
    <sheet name="DumpFile" sheetId="3" r:id="rId2"/>
    <sheet name="Distro" sheetId="5" state="hidden" r:id="rId3"/>
    <sheet name="References" sheetId="4" state="hidden" r:id="rId4"/>
  </sheets>
  <definedNames>
    <definedName name="_xlnm._FilterDatabase" localSheetId="3" hidden="1">References!$A$1:$A$9</definedName>
    <definedName name="Clr_Open">Dashboard!$B$5:$B$28</definedName>
    <definedName name="Copy_Open_src">Dashboard!$B$5:$B$28</definedName>
    <definedName name="LOB_HOOP">References!$E$2:$E$91</definedName>
    <definedName name="LOB_ID">References!$G$2:$G$91</definedName>
    <definedName name="LOB_src">References!$F$2:$F$91</definedName>
    <definedName name="LOBs">OFFSET(References!$A$2,0,0,COUNTA(References!$A:$A),1)</definedName>
    <definedName name="MAPD_HOOP">DumpFile!$A$4:$A$21</definedName>
    <definedName name="MAPD_ID">DumpFile!$H$4:$H$21</definedName>
    <definedName name="MedPro_HOOP">DumpFile!$S$4:$S$27</definedName>
    <definedName name="MedPro_ID">DumpFile!$Z$4:$Z$27</definedName>
    <definedName name="Open_MAPD">DumpFile!$B$4:$B$21</definedName>
    <definedName name="Open_MedPro">DumpFile!$T$4:$T$27</definedName>
    <definedName name="Open_PMHS">DumpFile!$K$4:$K$27</definedName>
    <definedName name="Open_PWR">DumpFile!$AC$4:$AC$27</definedName>
    <definedName name="PMHS_HOOP">DumpFile!$J$4:$J$27</definedName>
    <definedName name="PMHS_ID">DumpFile!$Q$4:$Q$27</definedName>
    <definedName name="Pst_Open">Dashboard!$R$5:$R$28</definedName>
    <definedName name="PWR_HOOP">DumpFile!$AB$4:$AB$27</definedName>
    <definedName name="PWR_ID">DumpFile!$AI$4:$AI$27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J29" i="1" l="1"/>
  <c r="L5" i="3"/>
  <c r="M5" i="3"/>
  <c r="N5" i="3"/>
  <c r="O5" i="3"/>
  <c r="P5" i="3"/>
  <c r="L6" i="3"/>
  <c r="M6" i="3"/>
  <c r="N6" i="3"/>
  <c r="O6" i="3"/>
  <c r="P6" i="3"/>
  <c r="L7" i="3"/>
  <c r="M7" i="3"/>
  <c r="N7" i="3"/>
  <c r="O7" i="3"/>
  <c r="P7" i="3"/>
  <c r="L8" i="3"/>
  <c r="M8" i="3"/>
  <c r="N8" i="3"/>
  <c r="O8" i="3"/>
  <c r="P8" i="3"/>
  <c r="L9" i="3"/>
  <c r="M9" i="3"/>
  <c r="N9" i="3"/>
  <c r="O9" i="3"/>
  <c r="P9" i="3"/>
  <c r="L10" i="3"/>
  <c r="M10" i="3"/>
  <c r="N10" i="3"/>
  <c r="O10" i="3"/>
  <c r="P10" i="3"/>
  <c r="L11" i="3"/>
  <c r="M11" i="3"/>
  <c r="N11" i="3"/>
  <c r="O11" i="3"/>
  <c r="P11" i="3"/>
  <c r="L12" i="3"/>
  <c r="M12" i="3"/>
  <c r="N12" i="3"/>
  <c r="O12" i="3"/>
  <c r="P12" i="3"/>
  <c r="L13" i="3"/>
  <c r="M13" i="3"/>
  <c r="N13" i="3"/>
  <c r="O13" i="3"/>
  <c r="P13" i="3"/>
  <c r="L14" i="3"/>
  <c r="M14" i="3"/>
  <c r="N14" i="3"/>
  <c r="O14" i="3"/>
  <c r="P14" i="3"/>
  <c r="L15" i="3"/>
  <c r="M15" i="3"/>
  <c r="N15" i="3"/>
  <c r="O15" i="3"/>
  <c r="P15" i="3"/>
  <c r="L16" i="3"/>
  <c r="M16" i="3"/>
  <c r="N16" i="3"/>
  <c r="O16" i="3"/>
  <c r="P16" i="3"/>
  <c r="L17" i="3"/>
  <c r="M17" i="3"/>
  <c r="N17" i="3"/>
  <c r="O17" i="3"/>
  <c r="P17" i="3"/>
  <c r="L18" i="3"/>
  <c r="M18" i="3"/>
  <c r="N18" i="3"/>
  <c r="O18" i="3"/>
  <c r="P18" i="3"/>
  <c r="L19" i="3"/>
  <c r="M19" i="3"/>
  <c r="N19" i="3"/>
  <c r="O19" i="3"/>
  <c r="P19" i="3"/>
  <c r="L20" i="3"/>
  <c r="M20" i="3"/>
  <c r="N20" i="3"/>
  <c r="O20" i="3"/>
  <c r="P20" i="3"/>
  <c r="L21" i="3"/>
  <c r="M21" i="3"/>
  <c r="N21" i="3"/>
  <c r="O21" i="3"/>
  <c r="P21" i="3"/>
  <c r="L22" i="3"/>
  <c r="M22" i="3"/>
  <c r="N22" i="3"/>
  <c r="O22" i="3"/>
  <c r="P22" i="3"/>
  <c r="L23" i="3"/>
  <c r="M23" i="3"/>
  <c r="N23" i="3"/>
  <c r="O23" i="3"/>
  <c r="P23" i="3"/>
  <c r="L24" i="3"/>
  <c r="M24" i="3"/>
  <c r="N24" i="3"/>
  <c r="O24" i="3"/>
  <c r="P24" i="3"/>
  <c r="L25" i="3"/>
  <c r="M25" i="3"/>
  <c r="N25" i="3"/>
  <c r="O25" i="3"/>
  <c r="P25" i="3"/>
  <c r="L26" i="3"/>
  <c r="M26" i="3"/>
  <c r="N26" i="3"/>
  <c r="O26" i="3"/>
  <c r="P26" i="3"/>
  <c r="L27" i="3"/>
  <c r="M27" i="3"/>
  <c r="N27" i="3"/>
  <c r="O27" i="3"/>
  <c r="P27" i="3"/>
  <c r="M4" i="3"/>
  <c r="N4" i="3"/>
  <c r="O4" i="3"/>
  <c r="P4" i="3"/>
  <c r="L4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C10" i="3"/>
  <c r="D10" i="3"/>
  <c r="E10" i="3"/>
  <c r="F10" i="3"/>
  <c r="G10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D4" i="3"/>
  <c r="E4" i="3"/>
  <c r="F4" i="3"/>
  <c r="G4" i="3"/>
  <c r="U5" i="3"/>
  <c r="V5" i="3"/>
  <c r="W5" i="3"/>
  <c r="X5" i="3"/>
  <c r="Y5" i="3"/>
  <c r="U6" i="3"/>
  <c r="V6" i="3"/>
  <c r="W6" i="3"/>
  <c r="X6" i="3"/>
  <c r="Y6" i="3"/>
  <c r="U7" i="3"/>
  <c r="V7" i="3"/>
  <c r="W7" i="3"/>
  <c r="X7" i="3"/>
  <c r="Y7" i="3"/>
  <c r="U8" i="3"/>
  <c r="V8" i="3"/>
  <c r="W8" i="3"/>
  <c r="X8" i="3"/>
  <c r="Y8" i="3"/>
  <c r="U9" i="3"/>
  <c r="V9" i="3"/>
  <c r="W9" i="3"/>
  <c r="X9" i="3"/>
  <c r="Y9" i="3"/>
  <c r="U10" i="3"/>
  <c r="V10" i="3"/>
  <c r="W10" i="3"/>
  <c r="X10" i="3"/>
  <c r="Y10" i="3"/>
  <c r="U11" i="3"/>
  <c r="V11" i="3"/>
  <c r="W11" i="3"/>
  <c r="X11" i="3"/>
  <c r="Y11" i="3"/>
  <c r="U12" i="3"/>
  <c r="V12" i="3"/>
  <c r="W12" i="3"/>
  <c r="X12" i="3"/>
  <c r="Y12" i="3"/>
  <c r="U13" i="3"/>
  <c r="V13" i="3"/>
  <c r="W13" i="3"/>
  <c r="X13" i="3"/>
  <c r="Y13" i="3"/>
  <c r="U14" i="3"/>
  <c r="V14" i="3"/>
  <c r="W14" i="3"/>
  <c r="X14" i="3"/>
  <c r="Y14" i="3"/>
  <c r="U15" i="3"/>
  <c r="V15" i="3"/>
  <c r="W15" i="3"/>
  <c r="X15" i="3"/>
  <c r="Y15" i="3"/>
  <c r="U16" i="3"/>
  <c r="V16" i="3"/>
  <c r="W16" i="3"/>
  <c r="X16" i="3"/>
  <c r="Y16" i="3"/>
  <c r="U17" i="3"/>
  <c r="V17" i="3"/>
  <c r="W17" i="3"/>
  <c r="X17" i="3"/>
  <c r="Y17" i="3"/>
  <c r="U18" i="3"/>
  <c r="V18" i="3"/>
  <c r="W18" i="3"/>
  <c r="X18" i="3"/>
  <c r="Y18" i="3"/>
  <c r="U19" i="3"/>
  <c r="V19" i="3"/>
  <c r="W19" i="3"/>
  <c r="X19" i="3"/>
  <c r="Y19" i="3"/>
  <c r="U20" i="3"/>
  <c r="V20" i="3"/>
  <c r="W20" i="3"/>
  <c r="X20" i="3"/>
  <c r="Y20" i="3"/>
  <c r="U21" i="3"/>
  <c r="V21" i="3"/>
  <c r="W21" i="3"/>
  <c r="X21" i="3"/>
  <c r="Y21" i="3"/>
  <c r="U22" i="3"/>
  <c r="V22" i="3"/>
  <c r="W22" i="3"/>
  <c r="X22" i="3"/>
  <c r="Y22" i="3"/>
  <c r="U23" i="3"/>
  <c r="V23" i="3"/>
  <c r="W23" i="3"/>
  <c r="X23" i="3"/>
  <c r="Y23" i="3"/>
  <c r="U24" i="3"/>
  <c r="V24" i="3"/>
  <c r="W24" i="3"/>
  <c r="X24" i="3"/>
  <c r="Y24" i="3"/>
  <c r="U25" i="3"/>
  <c r="V25" i="3"/>
  <c r="W25" i="3"/>
  <c r="X25" i="3"/>
  <c r="Y25" i="3"/>
  <c r="U26" i="3"/>
  <c r="V26" i="3"/>
  <c r="W26" i="3"/>
  <c r="X26" i="3"/>
  <c r="Y26" i="3"/>
  <c r="U27" i="3"/>
  <c r="V27" i="3"/>
  <c r="W27" i="3"/>
  <c r="X27" i="3"/>
  <c r="Y27" i="3"/>
  <c r="V4" i="3"/>
  <c r="W4" i="3"/>
  <c r="X4" i="3"/>
  <c r="Y4" i="3"/>
  <c r="U4" i="3"/>
  <c r="AD5" i="3"/>
  <c r="AE5" i="3"/>
  <c r="AF5" i="3"/>
  <c r="AG5" i="3"/>
  <c r="AH5" i="3"/>
  <c r="AD6" i="3"/>
  <c r="AE6" i="3"/>
  <c r="AF6" i="3"/>
  <c r="AG6" i="3"/>
  <c r="AH6" i="3"/>
  <c r="AD7" i="3"/>
  <c r="AE7" i="3"/>
  <c r="AF7" i="3"/>
  <c r="AG7" i="3"/>
  <c r="AH7" i="3"/>
  <c r="AD8" i="3"/>
  <c r="AE8" i="3"/>
  <c r="AF8" i="3"/>
  <c r="AG8" i="3"/>
  <c r="AH8" i="3"/>
  <c r="AD9" i="3"/>
  <c r="AE9" i="3"/>
  <c r="AF9" i="3"/>
  <c r="AG9" i="3"/>
  <c r="AH9" i="3"/>
  <c r="AD10" i="3"/>
  <c r="AE10" i="3"/>
  <c r="AF10" i="3"/>
  <c r="AG10" i="3"/>
  <c r="AH10" i="3"/>
  <c r="AD11" i="3"/>
  <c r="AE11" i="3"/>
  <c r="AF11" i="3"/>
  <c r="AG11" i="3"/>
  <c r="AH11" i="3"/>
  <c r="AD12" i="3"/>
  <c r="AE12" i="3"/>
  <c r="AF12" i="3"/>
  <c r="AG12" i="3"/>
  <c r="AH12" i="3"/>
  <c r="AD13" i="3"/>
  <c r="AE13" i="3"/>
  <c r="AF13" i="3"/>
  <c r="AG13" i="3"/>
  <c r="AH13" i="3"/>
  <c r="AD14" i="3"/>
  <c r="AE14" i="3"/>
  <c r="AF14" i="3"/>
  <c r="AG14" i="3"/>
  <c r="AH14" i="3"/>
  <c r="AD15" i="3"/>
  <c r="AE15" i="3"/>
  <c r="AF15" i="3"/>
  <c r="AG15" i="3"/>
  <c r="AH15" i="3"/>
  <c r="AD16" i="3"/>
  <c r="AE16" i="3"/>
  <c r="AF16" i="3"/>
  <c r="AG16" i="3"/>
  <c r="AH16" i="3"/>
  <c r="AD17" i="3"/>
  <c r="AE17" i="3"/>
  <c r="AF17" i="3"/>
  <c r="AG17" i="3"/>
  <c r="AH17" i="3"/>
  <c r="AD18" i="3"/>
  <c r="AE18" i="3"/>
  <c r="AF18" i="3"/>
  <c r="AG18" i="3"/>
  <c r="AH18" i="3"/>
  <c r="AD19" i="3"/>
  <c r="AE19" i="3"/>
  <c r="AF19" i="3"/>
  <c r="AG19" i="3"/>
  <c r="AH19" i="3"/>
  <c r="AD20" i="3"/>
  <c r="AE20" i="3"/>
  <c r="AF20" i="3"/>
  <c r="AG20" i="3"/>
  <c r="AH20" i="3"/>
  <c r="AD21" i="3"/>
  <c r="AE21" i="3"/>
  <c r="AF21" i="3"/>
  <c r="AG21" i="3"/>
  <c r="AH21" i="3"/>
  <c r="AD22" i="3"/>
  <c r="AE22" i="3"/>
  <c r="AF22" i="3"/>
  <c r="AG22" i="3"/>
  <c r="AH22" i="3"/>
  <c r="AD23" i="3"/>
  <c r="AE23" i="3"/>
  <c r="AF23" i="3"/>
  <c r="AG23" i="3"/>
  <c r="AH23" i="3"/>
  <c r="AD24" i="3"/>
  <c r="AE24" i="3"/>
  <c r="AF24" i="3"/>
  <c r="AG24" i="3"/>
  <c r="AH24" i="3"/>
  <c r="AD25" i="3"/>
  <c r="AE25" i="3"/>
  <c r="AF25" i="3"/>
  <c r="AG25" i="3"/>
  <c r="AH25" i="3"/>
  <c r="AD26" i="3"/>
  <c r="AE26" i="3"/>
  <c r="AF26" i="3"/>
  <c r="AG26" i="3"/>
  <c r="AH26" i="3"/>
  <c r="AD27" i="3"/>
  <c r="AE27" i="3"/>
  <c r="AF27" i="3"/>
  <c r="AG27" i="3"/>
  <c r="AH27" i="3"/>
  <c r="AE4" i="3"/>
  <c r="AF4" i="3"/>
  <c r="AG4" i="3"/>
  <c r="AH4" i="3"/>
  <c r="AD4" i="3"/>
  <c r="K2" i="1" l="1"/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I5" i="1" l="1"/>
  <c r="G70" i="4"/>
  <c r="G78" i="4"/>
  <c r="G22" i="4"/>
  <c r="G30" i="4"/>
  <c r="G38" i="4"/>
  <c r="AI5" i="3"/>
  <c r="G69" i="4" s="1"/>
  <c r="AI6" i="3"/>
  <c r="C7" i="1" s="1"/>
  <c r="AI7" i="3"/>
  <c r="G71" i="4" s="1"/>
  <c r="AI8" i="3"/>
  <c r="G72" i="4" s="1"/>
  <c r="AI9" i="3"/>
  <c r="G73" i="4" s="1"/>
  <c r="AI10" i="3"/>
  <c r="G74" i="4" s="1"/>
  <c r="AI11" i="3"/>
  <c r="G75" i="4" s="1"/>
  <c r="AI12" i="3"/>
  <c r="G76" i="4" s="1"/>
  <c r="AI13" i="3"/>
  <c r="G77" i="4" s="1"/>
  <c r="AI14" i="3"/>
  <c r="C15" i="1" s="1"/>
  <c r="AI15" i="3"/>
  <c r="G79" i="4" s="1"/>
  <c r="AI16" i="3"/>
  <c r="G80" i="4" s="1"/>
  <c r="AI17" i="3"/>
  <c r="G81" i="4" s="1"/>
  <c r="AI18" i="3"/>
  <c r="G82" i="4" s="1"/>
  <c r="AI19" i="3"/>
  <c r="G83" i="4" s="1"/>
  <c r="AI20" i="3"/>
  <c r="G84" i="4" s="1"/>
  <c r="AI21" i="3"/>
  <c r="G85" i="4" s="1"/>
  <c r="AI22" i="3"/>
  <c r="G86" i="4" s="1"/>
  <c r="AI23" i="3"/>
  <c r="G87" i="4" s="1"/>
  <c r="AI24" i="3"/>
  <c r="G88" i="4" s="1"/>
  <c r="AI25" i="3"/>
  <c r="G89" i="4" s="1"/>
  <c r="AI26" i="3"/>
  <c r="G90" i="4" s="1"/>
  <c r="AI27" i="3"/>
  <c r="G91" i="4" s="1"/>
  <c r="AI4" i="3"/>
  <c r="G68" i="4" s="1"/>
  <c r="Z5" i="3"/>
  <c r="G21" i="4" s="1"/>
  <c r="Z6" i="3"/>
  <c r="Z7" i="3"/>
  <c r="G23" i="4" s="1"/>
  <c r="Z8" i="3"/>
  <c r="G24" i="4" s="1"/>
  <c r="Z9" i="3"/>
  <c r="G25" i="4" s="1"/>
  <c r="Z10" i="3"/>
  <c r="G26" i="4" s="1"/>
  <c r="Z11" i="3"/>
  <c r="G27" i="4" s="1"/>
  <c r="Z12" i="3"/>
  <c r="G28" i="4" s="1"/>
  <c r="Z13" i="3"/>
  <c r="G29" i="4" s="1"/>
  <c r="Z14" i="3"/>
  <c r="Z15" i="3"/>
  <c r="G31" i="4" s="1"/>
  <c r="Z16" i="3"/>
  <c r="G32" i="4" s="1"/>
  <c r="Z17" i="3"/>
  <c r="G33" i="4" s="1"/>
  <c r="Z18" i="3"/>
  <c r="G34" i="4" s="1"/>
  <c r="Z19" i="3"/>
  <c r="G35" i="4" s="1"/>
  <c r="Z20" i="3"/>
  <c r="G36" i="4" s="1"/>
  <c r="Z21" i="3"/>
  <c r="G37" i="4" s="1"/>
  <c r="Z22" i="3"/>
  <c r="Z23" i="3"/>
  <c r="G39" i="4" s="1"/>
  <c r="Z24" i="3"/>
  <c r="G40" i="4" s="1"/>
  <c r="Z25" i="3"/>
  <c r="G41" i="4" s="1"/>
  <c r="Z26" i="3"/>
  <c r="G42" i="4" s="1"/>
  <c r="Z27" i="3"/>
  <c r="G43" i="4" s="1"/>
  <c r="Z4" i="3"/>
  <c r="G20" i="4" s="1"/>
  <c r="Q5" i="3"/>
  <c r="G45" i="4" s="1"/>
  <c r="Q6" i="3"/>
  <c r="G46" i="4" s="1"/>
  <c r="Q7" i="3"/>
  <c r="G47" i="4" s="1"/>
  <c r="Q8" i="3"/>
  <c r="G48" i="4" s="1"/>
  <c r="Q9" i="3"/>
  <c r="G49" i="4" s="1"/>
  <c r="Q10" i="3"/>
  <c r="G50" i="4" s="1"/>
  <c r="Q11" i="3"/>
  <c r="G51" i="4" s="1"/>
  <c r="Q12" i="3"/>
  <c r="G52" i="4" s="1"/>
  <c r="Q13" i="3"/>
  <c r="G53" i="4" s="1"/>
  <c r="Q14" i="3"/>
  <c r="G54" i="4" s="1"/>
  <c r="Q15" i="3"/>
  <c r="G55" i="4" s="1"/>
  <c r="Q16" i="3"/>
  <c r="G56" i="4" s="1"/>
  <c r="Q17" i="3"/>
  <c r="G57" i="4" s="1"/>
  <c r="Q18" i="3"/>
  <c r="G58" i="4" s="1"/>
  <c r="Q19" i="3"/>
  <c r="G59" i="4" s="1"/>
  <c r="Q20" i="3"/>
  <c r="G60" i="4" s="1"/>
  <c r="Q21" i="3"/>
  <c r="G61" i="4" s="1"/>
  <c r="Q22" i="3"/>
  <c r="G62" i="4" s="1"/>
  <c r="Q23" i="3"/>
  <c r="G63" i="4" s="1"/>
  <c r="Q24" i="3"/>
  <c r="G64" i="4" s="1"/>
  <c r="Q25" i="3"/>
  <c r="G65" i="4" s="1"/>
  <c r="Q26" i="3"/>
  <c r="G66" i="4" s="1"/>
  <c r="Q27" i="3"/>
  <c r="G67" i="4" s="1"/>
  <c r="Q4" i="3"/>
  <c r="G44" i="4" s="1"/>
  <c r="H4" i="3"/>
  <c r="G2" i="4" s="1"/>
  <c r="H5" i="3"/>
  <c r="G3" i="4" s="1"/>
  <c r="H6" i="3"/>
  <c r="G4" i="4" s="1"/>
  <c r="H7" i="3"/>
  <c r="G5" i="4" s="1"/>
  <c r="H8" i="3"/>
  <c r="G6" i="4" s="1"/>
  <c r="H9" i="3"/>
  <c r="G7" i="4" s="1"/>
  <c r="H10" i="3"/>
  <c r="G8" i="4" s="1"/>
  <c r="H11" i="3"/>
  <c r="G9" i="4" s="1"/>
  <c r="H12" i="3"/>
  <c r="G10" i="4" s="1"/>
  <c r="H13" i="3"/>
  <c r="G11" i="4" s="1"/>
  <c r="H14" i="3"/>
  <c r="G12" i="4" s="1"/>
  <c r="H15" i="3"/>
  <c r="G13" i="4" s="1"/>
  <c r="H16" i="3"/>
  <c r="G14" i="4" s="1"/>
  <c r="H17" i="3"/>
  <c r="G15" i="4" s="1"/>
  <c r="H18" i="3"/>
  <c r="G16" i="4" s="1"/>
  <c r="H19" i="3"/>
  <c r="G17" i="4" s="1"/>
  <c r="H20" i="3"/>
  <c r="G18" i="4" s="1"/>
  <c r="H21" i="3"/>
  <c r="G19" i="4" s="1"/>
  <c r="C22" i="1" l="1"/>
  <c r="C14" i="1"/>
  <c r="C6" i="1"/>
  <c r="C5" i="1"/>
  <c r="C25" i="1"/>
  <c r="C21" i="1"/>
  <c r="C17" i="1"/>
  <c r="C13" i="1"/>
  <c r="C9" i="1"/>
  <c r="C18" i="1"/>
  <c r="C28" i="1"/>
  <c r="C24" i="1"/>
  <c r="C20" i="1"/>
  <c r="C16" i="1"/>
  <c r="C12" i="1"/>
  <c r="C8" i="1"/>
  <c r="C26" i="1"/>
  <c r="C10" i="1"/>
  <c r="C27" i="1"/>
  <c r="C23" i="1"/>
  <c r="C19" i="1"/>
  <c r="C11" i="1"/>
  <c r="C2" i="4"/>
</calcChain>
</file>

<file path=xl/sharedStrings.xml><?xml version="1.0" encoding="utf-8"?>
<sst xmlns="http://schemas.openxmlformats.org/spreadsheetml/2006/main" count="154" uniqueCount="22">
  <si>
    <t>Current Requirements</t>
  </si>
  <si>
    <t>Time EST</t>
  </si>
  <si>
    <t>Mon</t>
  </si>
  <si>
    <t>Tue</t>
  </si>
  <si>
    <t>Wed</t>
  </si>
  <si>
    <t>Thu</t>
  </si>
  <si>
    <t>Fri</t>
  </si>
  <si>
    <t>MAPD</t>
  </si>
  <si>
    <t>PMHS</t>
  </si>
  <si>
    <t>MedPro</t>
  </si>
  <si>
    <t>PWR</t>
  </si>
  <si>
    <t>Open</t>
  </si>
  <si>
    <t>TC</t>
  </si>
  <si>
    <t>CHC</t>
  </si>
  <si>
    <t>Time</t>
  </si>
  <si>
    <t>LOB</t>
  </si>
  <si>
    <t>Date</t>
  </si>
  <si>
    <t>Req</t>
  </si>
  <si>
    <t>Buffers</t>
  </si>
  <si>
    <t>LA</t>
  </si>
  <si>
    <t>ID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</si>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</sst>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name val="Calibri Light"/>
      <family val="2"/>
    </font>
    <font>
      <b/>
      <sz val="10"/>
      <color theme="0"/>
      <name val="Calibri Light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20" fontId="1" fillId="0" borderId="2" xfId="0" applyNumberFormat="1" applyFont="1" applyBorder="1" applyAlignment="1">
      <alignment horizontal="center"/>
    </xf>
    <xf numFmtId="20" fontId="1" fillId="0" borderId="3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20" fontId="1" fillId="7" borderId="4" xfId="0" applyNumberFormat="1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0" fontId="1" fillId="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20" fontId="1" fillId="0" borderId="3" xfId="0" applyNumberFormat="1" applyFont="1" applyFill="1" applyBorder="1" applyAlignment="1">
      <alignment horizontal="center"/>
    </xf>
    <xf numFmtId="0" fontId="0" fillId="0" borderId="0" xfId="0" applyFill="1"/>
    <xf numFmtId="0" fontId="4" fillId="8" borderId="2" xfId="0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0" fontId="1" fillId="0" borderId="1" xfId="0" applyNumberFormat="1" applyFont="1" applyBorder="1" applyAlignment="1">
      <alignment horizontal="center" vertical="center"/>
    </xf>
    <xf numFmtId="40" fontId="1" fillId="0" borderId="2" xfId="0" applyNumberFormat="1" applyFont="1" applyBorder="1"/>
    <xf numFmtId="40" fontId="1" fillId="0" borderId="0" xfId="0" applyNumberFormat="1" applyFont="1"/>
    <xf numFmtId="40" fontId="1" fillId="0" borderId="2" xfId="0" applyNumberFormat="1" applyFont="1" applyBorder="1" applyAlignment="1">
      <alignment horizontal="center" vertical="center"/>
    </xf>
    <xf numFmtId="39" fontId="5" fillId="9" borderId="4" xfId="0" applyNumberFormat="1" applyFont="1" applyFill="1" applyBorder="1" applyAlignment="1">
      <alignment horizontal="center" vertical="center"/>
    </xf>
    <xf numFmtId="39" fontId="0" fillId="0" borderId="0" xfId="0" applyNumberFormat="1" applyAlignment="1">
      <alignment horizontal="center" vertical="center"/>
    </xf>
    <xf numFmtId="10" fontId="7" fillId="0" borderId="9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E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4</xdr:col>
          <xdr:colOff>361950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133350</xdr:colOff>
      <xdr:row>4</xdr:row>
      <xdr:rowOff>28575</xdr:rowOff>
    </xdr:from>
    <xdr:to>
      <xdr:col>4</xdr:col>
      <xdr:colOff>400050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1952625" y="7905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12</xdr:col>
      <xdr:colOff>485775</xdr:colOff>
      <xdr:row>0</xdr:row>
      <xdr:rowOff>142875</xdr:rowOff>
    </xdr:from>
    <xdr:to>
      <xdr:col>14</xdr:col>
      <xdr:colOff>142875</xdr:colOff>
      <xdr:row>7</xdr:row>
      <xdr:rowOff>161925</xdr:rowOff>
    </xdr:to>
    <xdr:sp macro="" textlink="">
      <xdr:nvSpPr>
        <xdr:cNvPr id="6" name="TextBox 5"/>
        <xdr:cNvSpPr txBox="1"/>
      </xdr:nvSpPr>
      <xdr:spPr>
        <a:xfrm>
          <a:off x="9525000" y="1428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 n</a:t>
          </a:r>
        </a:p>
        <a:p>
          <a:r>
            <a:rPr lang="en-US" sz="1100" baseline="0"/>
            <a:t>pull Time, Open, Req from DumpFile LOB Tbl</a:t>
          </a:r>
          <a:endParaRPr lang="en-US" sz="1100"/>
        </a:p>
      </xdr:txBody>
    </xdr:sp>
    <xdr:clientData/>
  </xdr:twoCellAnchor>
  <xdr:twoCellAnchor>
    <xdr:from>
      <xdr:col>12</xdr:col>
      <xdr:colOff>533400</xdr:colOff>
      <xdr:row>8</xdr:row>
      <xdr:rowOff>180975</xdr:rowOff>
    </xdr:from>
    <xdr:to>
      <xdr:col>14</xdr:col>
      <xdr:colOff>190500</xdr:colOff>
      <xdr:row>16</xdr:row>
      <xdr:rowOff>9525</xdr:rowOff>
    </xdr:to>
    <xdr:sp macro="" textlink="">
      <xdr:nvSpPr>
        <xdr:cNvPr id="7" name="TextBox 6"/>
        <xdr:cNvSpPr txBox="1"/>
      </xdr:nvSpPr>
      <xdr:spPr>
        <a:xfrm>
          <a:off x="9572625" y="17049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14</xdr:col>
      <xdr:colOff>390525</xdr:colOff>
      <xdr:row>9</xdr:row>
      <xdr:rowOff>47625</xdr:rowOff>
    </xdr:from>
    <xdr:to>
      <xdr:col>16</xdr:col>
      <xdr:colOff>47625</xdr:colOff>
      <xdr:row>16</xdr:row>
      <xdr:rowOff>66675</xdr:rowOff>
    </xdr:to>
    <xdr:sp macro="" textlink="">
      <xdr:nvSpPr>
        <xdr:cNvPr id="8" name="TextBox 7"/>
        <xdr:cNvSpPr txBox="1"/>
      </xdr:nvSpPr>
      <xdr:spPr>
        <a:xfrm>
          <a:off x="10648950" y="176212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LOB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n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Req val move to LOB DumpFile Tbl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19050</xdr:rowOff>
        </xdr:from>
        <xdr:to>
          <xdr:col>12</xdr:col>
          <xdr:colOff>361950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238125</xdr:colOff>
      <xdr:row>0</xdr:row>
      <xdr:rowOff>133349</xdr:rowOff>
    </xdr:from>
    <xdr:to>
      <xdr:col>15</xdr:col>
      <xdr:colOff>504825</xdr:colOff>
      <xdr:row>8</xdr:row>
      <xdr:rowOff>85724</xdr:rowOff>
    </xdr:to>
    <xdr:sp macro="" textlink="">
      <xdr:nvSpPr>
        <xdr:cNvPr id="10" name="TextBox 9"/>
        <xdr:cNvSpPr txBox="1"/>
      </xdr:nvSpPr>
      <xdr:spPr>
        <a:xfrm>
          <a:off x="10496550" y="133349"/>
          <a:ext cx="876300" cy="147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Send</a:t>
          </a:r>
          <a:r>
            <a:rPr lang="en-US" sz="1100" baseline="0"/>
            <a:t> Btn = Press</a:t>
          </a:r>
        </a:p>
        <a:p>
          <a:endParaRPr lang="en-US" sz="1100" baseline="0"/>
        </a:p>
        <a:p>
          <a:r>
            <a:rPr lang="en-US" sz="1100" baseline="0"/>
            <a:t>Send via outlook selected LOB RVA</a:t>
          </a:r>
          <a:endParaRPr lang="en-US" sz="1100"/>
        </a:p>
      </xdr:txBody>
    </xdr:sp>
    <xdr:clientData/>
  </xdr:twoCellAnchor>
  <xdr:twoCellAnchor>
    <xdr:from>
      <xdr:col>3</xdr:col>
      <xdr:colOff>123825</xdr:colOff>
      <xdr:row>11</xdr:row>
      <xdr:rowOff>180975</xdr:rowOff>
    </xdr:from>
    <xdr:to>
      <xdr:col>4</xdr:col>
      <xdr:colOff>390525</xdr:colOff>
      <xdr:row>19</xdr:row>
      <xdr:rowOff>9525</xdr:rowOff>
    </xdr:to>
    <xdr:sp macro="" textlink="">
      <xdr:nvSpPr>
        <xdr:cNvPr id="9" name="TextBox 8"/>
        <xdr:cNvSpPr txBox="1"/>
      </xdr:nvSpPr>
      <xdr:spPr>
        <a:xfrm>
          <a:off x="3152775" y="22764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n, while Time and ID = 0 prompt error LOB not found.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161925</xdr:rowOff>
        </xdr:from>
        <xdr:to>
          <xdr:col>12</xdr:col>
          <xdr:colOff>342900</xdr:colOff>
          <xdr:row>5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6</xdr:row>
          <xdr:rowOff>114300</xdr:rowOff>
        </xdr:from>
        <xdr:to>
          <xdr:col>12</xdr:col>
          <xdr:colOff>333375</xdr:colOff>
          <xdr:row>8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2754"/>
  <sheetViews>
    <sheetView tabSelected="1" workbookViewId="0">
      <selection activeCell="G14" sqref="G14"/>
    </sheetView>
  </sheetViews>
  <sheetFormatPr defaultRowHeight="15" x14ac:dyDescent="0.25"/>
  <cols>
    <col min="1" max="1" width="9.140625" style="8"/>
    <col min="2" max="3" width="18.140625" style="8" customWidth="1"/>
    <col min="6" max="8" width="10.7109375" style="8" customWidth="1"/>
    <col min="9" max="10" width="10.7109375" style="42" customWidth="1"/>
  </cols>
  <sheetData>
    <row r="2" spans="1:18" x14ac:dyDescent="0.25">
      <c r="A2" s="28"/>
      <c r="B2" s="28"/>
      <c r="F2" s="26" t="s">
        <v>16</v>
      </c>
      <c r="G2" s="44">
        <f ca="1">TODAY()</f>
        <v>44503</v>
      </c>
      <c r="H2" s="44"/>
      <c r="I2" s="44"/>
      <c r="J2" s="44"/>
      <c r="K2" s="8" t="str">
        <f ca="1">TEXT($G$2,"ddd")</f>
        <v>Wed</v>
      </c>
    </row>
    <row r="3" spans="1:18" x14ac:dyDescent="0.25">
      <c r="A3" s="13" t="s">
        <v>15</v>
      </c>
      <c r="B3" s="9" t="s">
        <v>10</v>
      </c>
      <c r="F3" s="26" t="s">
        <v>15</v>
      </c>
      <c r="G3" s="45" t="s">
        <v>7</v>
      </c>
      <c r="H3" s="45"/>
      <c r="I3" s="45"/>
      <c r="J3" s="45"/>
    </row>
    <row r="4" spans="1:18" x14ac:dyDescent="0.25">
      <c r="A4" s="13" t="s">
        <v>14</v>
      </c>
      <c r="B4" s="13" t="s">
        <v>11</v>
      </c>
      <c r="C4" s="13" t="s">
        <v>20</v>
      </c>
      <c r="F4" s="26" t="s">
        <v>14</v>
      </c>
      <c r="G4" s="26" t="s">
        <v>11</v>
      </c>
      <c r="H4" s="26" t="s">
        <v>17</v>
      </c>
      <c r="I4" s="41" t="s">
        <v>18</v>
      </c>
      <c r="J4" s="41" t="s">
        <v>19</v>
      </c>
    </row>
    <row r="5" spans="1:18" x14ac:dyDescent="0.25">
      <c r="A5" s="12">
        <f>IF($B$3="MedPro",DumpFile!$S4,IF($B$3="PMHS",DumpFile!$J4,IF($B$3="PWR",DumpFile!$AB4,IF($B$3="MAPD",DumpFile!$A4,IF($B$3&lt;&gt;"MedPro",IF($B$3&lt;&gt;"PMHS",IF($B$3&lt;&gt;"PWR",IF($B$3&lt;&gt;"MAPD",""))))))))</f>
        <v>0.29166666666666669</v>
      </c>
      <c r="B5" s="29"/>
      <c r="C5" s="11" t="str">
        <f>IF($B$3="MedPro",DumpFile!$Z4,IF($B$3="PMHS",DumpFile!$Q4,IF($B$3="PWR",DumpFile!$AI4,IF($B$3="MAPD",DumpFile!$H4,IF($B$3&lt;&gt;"MedPro",IF($B$3&lt;&gt;"PMHS",IF($B$3&lt;&gt;"PWR",IF($B$3&lt;&gt;"MAPD",""))))))))</f>
        <v>PW68</v>
      </c>
      <c r="F5" s="32"/>
      <c r="G5" s="30"/>
      <c r="H5" s="36"/>
      <c r="I5" s="42">
        <f>$G5-$H5</f>
        <v>0</v>
      </c>
      <c r="J5" s="42" t="str">
        <f>IFERROR(IF((G5/H5)&gt;1,100,IF(ISBLANK(G5),"",(G5/H5)*100)),"")</f>
        <v/>
      </c>
      <c r="R5" s="30"/>
    </row>
    <row r="6" spans="1:18" x14ac:dyDescent="0.25">
      <c r="A6" s="12">
        <f>IF($B$3="MedPro",DumpFile!$S5,IF($B$3="PMHS",DumpFile!$J5,IF($B$3="PWR",DumpFile!$AB5,IF($B$3="MAPD",DumpFile!$A5,IF($B$3&lt;&gt;"MedPro",IF($B$3&lt;&gt;"PMHS",IF($B$3&lt;&gt;"PWR",IF($B$3&lt;&gt;"MAPD",""))))))))</f>
        <v>0.3125</v>
      </c>
      <c r="B6" s="29"/>
      <c r="C6" s="11" t="str">
        <f>IF($B$3="MedPro",DumpFile!$Z5,IF($B$3="PMHS",DumpFile!$Q5,IF($B$3="PWR",DumpFile!$AI5,IF($B$3="MAPD",DumpFile!$H5,IF($B$3&lt;&gt;"MedPro",IF($B$3&lt;&gt;"PMHS",IF($B$3&lt;&gt;"PWR",IF($B$3&lt;&gt;"MAPD",""))))))))</f>
        <v>PW26</v>
      </c>
      <c r="F6" s="32"/>
      <c r="G6" s="30"/>
      <c r="H6" s="36"/>
      <c r="I6" s="42">
        <f t="shared" ref="I6:I28" si="0">$G6-$H6</f>
        <v>0</v>
      </c>
      <c r="J6" s="42" t="str">
        <f t="shared" ref="J6:J28" si="1">IFERROR(IF((G6/H6)&gt;1,100,IF(ISBLANK(G6),"",(G6/H6)*100)),"")</f>
        <v/>
      </c>
      <c r="R6" s="30"/>
    </row>
    <row r="7" spans="1:18" x14ac:dyDescent="0.25">
      <c r="A7" s="12">
        <f>IF($B$3="MedPro",DumpFile!$S6,IF($B$3="PMHS",DumpFile!$J6,IF($B$3="PWR",DumpFile!$AB6,IF($B$3="MAPD",DumpFile!$A6,IF($B$3&lt;&gt;"MedPro",IF($B$3&lt;&gt;"PMHS",IF($B$3&lt;&gt;"PWR",IF($B$3&lt;&gt;"MAPD",""))))))))</f>
        <v>0.33333333333333298</v>
      </c>
      <c r="B7" s="29"/>
      <c r="C7" s="11" t="str">
        <f>IF($B$3="MedPro",DumpFile!$Z6,IF($B$3="PMHS",DumpFile!$Q6,IF($B$3="PWR",DumpFile!$AI6,IF($B$3="MAPD",DumpFile!$H6,IF($B$3&lt;&gt;"MedPro",IF($B$3&lt;&gt;"PMHS",IF($B$3&lt;&gt;"PWR",IF($B$3&lt;&gt;"MAPD",""))))))))</f>
        <v>PW34</v>
      </c>
      <c r="F7" s="32"/>
      <c r="G7" s="30"/>
      <c r="H7" s="36"/>
      <c r="I7" s="42">
        <f t="shared" si="0"/>
        <v>0</v>
      </c>
      <c r="J7" s="42" t="str">
        <f t="shared" si="1"/>
        <v/>
      </c>
      <c r="R7" s="30"/>
    </row>
    <row r="8" spans="1:18" x14ac:dyDescent="0.25">
      <c r="A8" s="12">
        <f>IF($B$3="MedPro",DumpFile!$S7,IF($B$3="PMHS",DumpFile!$J7,IF($B$3="PWR",DumpFile!$AB7,IF($B$3="MAPD",DumpFile!$A7,IF($B$3&lt;&gt;"MedPro",IF($B$3&lt;&gt;"PMHS",IF($B$3&lt;&gt;"PWR",IF($B$3&lt;&gt;"MAPD",""))))))))</f>
        <v>0.35416666666666702</v>
      </c>
      <c r="B8" s="29"/>
      <c r="C8" s="11" t="str">
        <f>IF($B$3="MedPro",DumpFile!$Z7,IF($B$3="PMHS",DumpFile!$Q7,IF($B$3="PWR",DumpFile!$AI7,IF($B$3="MAPD",DumpFile!$H7,IF($B$3&lt;&gt;"MedPro",IF($B$3&lt;&gt;"PMHS",IF($B$3&lt;&gt;"PWR",IF($B$3&lt;&gt;"MAPD",""))))))))</f>
        <v>PW68</v>
      </c>
      <c r="F8" s="32"/>
      <c r="G8" s="30"/>
      <c r="H8" s="36"/>
      <c r="I8" s="42">
        <f t="shared" si="0"/>
        <v>0</v>
      </c>
      <c r="J8" s="42" t="str">
        <f t="shared" si="1"/>
        <v/>
      </c>
      <c r="R8" s="30"/>
    </row>
    <row r="9" spans="1:18" x14ac:dyDescent="0.25">
      <c r="A9" s="12">
        <f>IF($B$3="MedPro",DumpFile!$S8,IF($B$3="PMHS",DumpFile!$J8,IF($B$3="PWR",DumpFile!$AB8,IF($B$3="MAPD",DumpFile!$A8,IF($B$3&lt;&gt;"MedPro",IF($B$3&lt;&gt;"PMHS",IF($B$3&lt;&gt;"PWR",IF($B$3&lt;&gt;"MAPD",""))))))))</f>
        <v>0.375</v>
      </c>
      <c r="B9" s="29"/>
      <c r="C9" s="11" t="str">
        <f>IF($B$3="MedPro",DumpFile!$Z8,IF($B$3="PMHS",DumpFile!$Q8,IF($B$3="PWR",DumpFile!$AI8,IF($B$3="MAPD",DumpFile!$H8,IF($B$3&lt;&gt;"MedPro",IF($B$3&lt;&gt;"PMHS",IF($B$3&lt;&gt;"PWR",IF($B$3&lt;&gt;"MAPD",""))))))))</f>
        <v>PW76</v>
      </c>
      <c r="F9" s="32"/>
      <c r="G9" s="30"/>
      <c r="H9" s="36"/>
      <c r="I9" s="42">
        <f t="shared" si="0"/>
        <v>0</v>
      </c>
      <c r="J9" s="42" t="str">
        <f t="shared" si="1"/>
        <v/>
      </c>
      <c r="R9" s="30"/>
    </row>
    <row r="10" spans="1:18" x14ac:dyDescent="0.25">
      <c r="A10" s="12">
        <f>IF($B$3="MedPro",DumpFile!$S9,IF($B$3="PMHS",DumpFile!$J9,IF($B$3="PWR",DumpFile!$AB9,IF($B$3="MAPD",DumpFile!$A9,IF($B$3&lt;&gt;"MedPro",IF($B$3&lt;&gt;"PMHS",IF($B$3&lt;&gt;"PWR",IF($B$3&lt;&gt;"MAPD",""))))))))</f>
        <v>0.39583333333333398</v>
      </c>
      <c r="B10" s="29"/>
      <c r="C10" s="11" t="str">
        <f>IF($B$3="MedPro",DumpFile!$Z9,IF($B$3="PMHS",DumpFile!$Q9,IF($B$3="PWR",DumpFile!$AI9,IF($B$3="MAPD",DumpFile!$H9,IF($B$3&lt;&gt;"MedPro",IF($B$3&lt;&gt;"PMHS",IF($B$3&lt;&gt;"PWR",IF($B$3&lt;&gt;"MAPD",""))))))))</f>
        <v>PW35</v>
      </c>
      <c r="F10" s="32"/>
      <c r="G10" s="30"/>
      <c r="H10" s="36"/>
      <c r="I10" s="42">
        <f t="shared" si="0"/>
        <v>0</v>
      </c>
      <c r="J10" s="42" t="str">
        <f t="shared" si="1"/>
        <v/>
      </c>
      <c r="R10" s="30"/>
    </row>
    <row r="11" spans="1:18" x14ac:dyDescent="0.25">
      <c r="A11" s="12">
        <f>IF($B$3="MedPro",DumpFile!$S10,IF($B$3="PMHS",DumpFile!$J10,IF($B$3="PWR",DumpFile!$AB10,IF($B$3="MAPD",DumpFile!$A10,IF($B$3&lt;&gt;"MedPro",IF($B$3&lt;&gt;"PMHS",IF($B$3&lt;&gt;"PWR",IF($B$3&lt;&gt;"MAPD",""))))))))</f>
        <v>0.41666666666666702</v>
      </c>
      <c r="B11" s="29"/>
      <c r="C11" s="11" t="str">
        <f>IF($B$3="MedPro",DumpFile!$Z10,IF($B$3="PMHS",DumpFile!$Q10,IF($B$3="PWR",DumpFile!$AI10,IF($B$3="MAPD",DumpFile!$H10,IF($B$3&lt;&gt;"MedPro",IF($B$3&lt;&gt;"PMHS",IF($B$3&lt;&gt;"PWR",IF($B$3&lt;&gt;"MAPD",""))))))))</f>
        <v>PW68</v>
      </c>
      <c r="F11" s="32"/>
      <c r="G11" s="30"/>
      <c r="H11" s="36"/>
      <c r="I11" s="42">
        <f t="shared" si="0"/>
        <v>0</v>
      </c>
      <c r="J11" s="42" t="str">
        <f t="shared" si="1"/>
        <v/>
      </c>
      <c r="R11" s="30"/>
    </row>
    <row r="12" spans="1:18" x14ac:dyDescent="0.25">
      <c r="A12" s="12">
        <f>IF($B$3="MedPro",DumpFile!$S11,IF($B$3="PMHS",DumpFile!$J11,IF($B$3="PWR",DumpFile!$AB11,IF($B$3="MAPD",DumpFile!$A11,IF($B$3&lt;&gt;"MedPro",IF($B$3&lt;&gt;"PMHS",IF($B$3&lt;&gt;"PWR",IF($B$3&lt;&gt;"MAPD",""))))))))</f>
        <v>0.4375</v>
      </c>
      <c r="B12" s="29"/>
      <c r="C12" s="11" t="str">
        <f>IF($B$3="MedPro",DumpFile!$Z11,IF($B$3="PMHS",DumpFile!$Q11,IF($B$3="PWR",DumpFile!$AI11,IF($B$3="MAPD",DumpFile!$H11,IF($B$3&lt;&gt;"MedPro",IF($B$3&lt;&gt;"PMHS",IF($B$3&lt;&gt;"PWR",IF($B$3&lt;&gt;"MAPD",""))))))))</f>
        <v>PW76</v>
      </c>
      <c r="F12" s="32"/>
      <c r="G12" s="30"/>
      <c r="H12" s="36"/>
      <c r="I12" s="42">
        <f t="shared" si="0"/>
        <v>0</v>
      </c>
      <c r="J12" s="42" t="str">
        <f t="shared" si="1"/>
        <v/>
      </c>
      <c r="R12" s="30"/>
    </row>
    <row r="13" spans="1:18" x14ac:dyDescent="0.25">
      <c r="A13" s="12">
        <f>IF($B$3="MedPro",DumpFile!$S12,IF($B$3="PMHS",DumpFile!$J12,IF($B$3="PWR",DumpFile!$AB12,IF($B$3="MAPD",DumpFile!$A12,IF($B$3&lt;&gt;"MedPro",IF($B$3&lt;&gt;"PMHS",IF($B$3&lt;&gt;"PWR",IF($B$3&lt;&gt;"MAPD",""))))))))</f>
        <v>0.45833333333333398</v>
      </c>
      <c r="B13" s="29"/>
      <c r="C13" s="11" t="str">
        <f>IF($B$3="MedPro",DumpFile!$Z12,IF($B$3="PMHS",DumpFile!$Q12,IF($B$3="PWR",DumpFile!$AI12,IF($B$3="MAPD",DumpFile!$H12,IF($B$3&lt;&gt;"MedPro",IF($B$3&lt;&gt;"PMHS",IF($B$3&lt;&gt;"PWR",IF($B$3&lt;&gt;"MAPD",""))))))))</f>
        <v>PW35</v>
      </c>
      <c r="F13" s="32"/>
      <c r="G13" s="30"/>
      <c r="H13" s="36"/>
      <c r="I13" s="42">
        <f t="shared" si="0"/>
        <v>0</v>
      </c>
      <c r="J13" s="42" t="str">
        <f t="shared" si="1"/>
        <v/>
      </c>
      <c r="R13" s="30"/>
    </row>
    <row r="14" spans="1:18" x14ac:dyDescent="0.25">
      <c r="A14" s="12">
        <f>IF($B$3="MedPro",DumpFile!$S13,IF($B$3="PMHS",DumpFile!$J13,IF($B$3="PWR",DumpFile!$AB13,IF($B$3="MAPD",DumpFile!$A13,IF($B$3&lt;&gt;"MedPro",IF($B$3&lt;&gt;"PMHS",IF($B$3&lt;&gt;"PWR",IF($B$3&lt;&gt;"MAPD",""))))))))</f>
        <v>0.47916666666666702</v>
      </c>
      <c r="B14" s="29"/>
      <c r="C14" s="11" t="str">
        <f>IF($B$3="MedPro",DumpFile!$Z13,IF($B$3="PMHS",DumpFile!$Q13,IF($B$3="PWR",DumpFile!$AI13,IF($B$3="MAPD",DumpFile!$H13,IF($B$3&lt;&gt;"MedPro",IF($B$3&lt;&gt;"PMHS",IF($B$3&lt;&gt;"PWR",IF($B$3&lt;&gt;"MAPD",""))))))))</f>
        <v>PW68</v>
      </c>
      <c r="F14" s="32"/>
      <c r="G14" s="30"/>
      <c r="H14" s="36"/>
      <c r="I14" s="42">
        <f t="shared" si="0"/>
        <v>0</v>
      </c>
      <c r="J14" s="42" t="str">
        <f t="shared" si="1"/>
        <v/>
      </c>
      <c r="R14" s="30"/>
    </row>
    <row r="15" spans="1:18" x14ac:dyDescent="0.25">
      <c r="A15" s="12">
        <f>IF($B$3="MedPro",DumpFile!$S14,IF($B$3="PMHS",DumpFile!$J14,IF($B$3="PWR",DumpFile!$AB14,IF($B$3="MAPD",DumpFile!$A14,IF($B$3&lt;&gt;"MedPro",IF($B$3&lt;&gt;"PMHS",IF($B$3&lt;&gt;"PWR",IF($B$3&lt;&gt;"MAPD",""))))))))</f>
        <v>0.5</v>
      </c>
      <c r="B15" s="29"/>
      <c r="C15" s="11" t="str">
        <f>IF($B$3="MedPro",DumpFile!$Z14,IF($B$3="PMHS",DumpFile!$Q14,IF($B$3="PWR",DumpFile!$AI14,IF($B$3="MAPD",DumpFile!$H14,IF($B$3&lt;&gt;"MedPro",IF($B$3&lt;&gt;"PMHS",IF($B$3&lt;&gt;"PWR",IF($B$3&lt;&gt;"MAPD",""))))))))</f>
        <v>PW1.5</v>
      </c>
      <c r="F15" s="32"/>
      <c r="G15" s="30"/>
      <c r="H15" s="36"/>
      <c r="I15" s="42">
        <f t="shared" si="0"/>
        <v>0</v>
      </c>
      <c r="J15" s="42" t="str">
        <f t="shared" si="1"/>
        <v/>
      </c>
      <c r="R15" s="30"/>
    </row>
    <row r="16" spans="1:18" x14ac:dyDescent="0.25">
      <c r="A16" s="12">
        <f>IF($B$3="MedPro",DumpFile!$S15,IF($B$3="PMHS",DumpFile!$J15,IF($B$3="PWR",DumpFile!$AB15,IF($B$3="MAPD",DumpFile!$A15,IF($B$3&lt;&gt;"MedPro",IF($B$3&lt;&gt;"PMHS",IF($B$3&lt;&gt;"PWR",IF($B$3&lt;&gt;"MAPD",""))))))))</f>
        <v>0.52083333333333304</v>
      </c>
      <c r="B16" s="29"/>
      <c r="C16" s="11" t="str">
        <f>IF($B$3="MedPro",DumpFile!$Z15,IF($B$3="PMHS",DumpFile!$Q15,IF($B$3="PWR",DumpFile!$AI15,IF($B$3="MAPD",DumpFile!$H15,IF($B$3&lt;&gt;"MedPro",IF($B$3&lt;&gt;"PMHS",IF($B$3&lt;&gt;"PWR",IF($B$3&lt;&gt;"MAPD",""))))))))</f>
        <v>PW34</v>
      </c>
      <c r="F16" s="32"/>
      <c r="G16" s="30"/>
      <c r="H16" s="36"/>
      <c r="I16" s="42">
        <f t="shared" si="0"/>
        <v>0</v>
      </c>
      <c r="J16" s="42" t="str">
        <f t="shared" si="1"/>
        <v/>
      </c>
      <c r="R16" s="30"/>
    </row>
    <row r="17" spans="1:18" x14ac:dyDescent="0.25">
      <c r="A17" s="12">
        <f>IF($B$3="MedPro",DumpFile!$S16,IF($B$3="PMHS",DumpFile!$J16,IF($B$3="PWR",DumpFile!$AB16,IF($B$3="MAPD",DumpFile!$A16,IF($B$3&lt;&gt;"MedPro",IF($B$3&lt;&gt;"PMHS",IF($B$3&lt;&gt;"PWR",IF($B$3&lt;&gt;"MAPD",""))))))))</f>
        <v>0.54166666666666696</v>
      </c>
      <c r="B17" s="29"/>
      <c r="C17" s="11" t="str">
        <f>IF($B$3="MedPro",DumpFile!$Z16,IF($B$3="PMHS",DumpFile!$Q16,IF($B$3="PWR",DumpFile!$AI16,IF($B$3="MAPD",DumpFile!$H16,IF($B$3&lt;&gt;"MedPro",IF($B$3&lt;&gt;"PMHS",IF($B$3&lt;&gt;"PWR",IF($B$3&lt;&gt;"MAPD",""))))))))</f>
        <v>PW68</v>
      </c>
      <c r="F17" s="32"/>
      <c r="G17" s="30"/>
      <c r="H17" s="36"/>
      <c r="I17" s="42">
        <f t="shared" si="0"/>
        <v>0</v>
      </c>
      <c r="J17" s="42" t="str">
        <f t="shared" si="1"/>
        <v/>
      </c>
      <c r="R17" s="30"/>
    </row>
    <row r="18" spans="1:18" x14ac:dyDescent="0.25">
      <c r="A18" s="12">
        <f>IF($B$3="MedPro",DumpFile!$S17,IF($B$3="PMHS",DumpFile!$J17,IF($B$3="PWR",DumpFile!$AB17,IF($B$3="MAPD",DumpFile!$A17,IF($B$3&lt;&gt;"MedPro",IF($B$3&lt;&gt;"PMHS",IF($B$3&lt;&gt;"PWR",IF($B$3&lt;&gt;"MAPD",""))))))))</f>
        <v>0.5625</v>
      </c>
      <c r="B18" s="29"/>
      <c r="C18" s="11" t="str">
        <f>IF($B$3="MedPro",DumpFile!$Z17,IF($B$3="PMHS",DumpFile!$Q17,IF($B$3="PWR",DumpFile!$AI17,IF($B$3="MAPD",DumpFile!$H17,IF($B$3&lt;&gt;"MedPro",IF($B$3&lt;&gt;"PMHS",IF($B$3&lt;&gt;"PWR",IF($B$3&lt;&gt;"MAPD",""))))))))</f>
        <v>PW26</v>
      </c>
      <c r="F18" s="32"/>
      <c r="G18" s="30"/>
      <c r="H18" s="36"/>
      <c r="I18" s="42">
        <f t="shared" si="0"/>
        <v>0</v>
      </c>
      <c r="J18" s="42" t="str">
        <f t="shared" si="1"/>
        <v/>
      </c>
      <c r="R18" s="30"/>
    </row>
    <row r="19" spans="1:18" x14ac:dyDescent="0.25">
      <c r="A19" s="12">
        <f>IF($B$3="MedPro",DumpFile!$S18,IF($B$3="PMHS",DumpFile!$J18,IF($B$3="PWR",DumpFile!$AB18,IF($B$3="MAPD",DumpFile!$A18,IF($B$3&lt;&gt;"MedPro",IF($B$3&lt;&gt;"PMHS",IF($B$3&lt;&gt;"PWR",IF($B$3&lt;&gt;"MAPD",""))))))))</f>
        <v>0.58333333333333304</v>
      </c>
      <c r="B19" s="29"/>
      <c r="C19" s="11" t="str">
        <f>IF($B$3="MedPro",DumpFile!$Z18,IF($B$3="PMHS",DumpFile!$Q18,IF($B$3="PWR",DumpFile!$AI18,IF($B$3="MAPD",DumpFile!$H18,IF($B$3&lt;&gt;"MedPro",IF($B$3&lt;&gt;"PMHS",IF($B$3&lt;&gt;"PWR",IF($B$3&lt;&gt;"MAPD",""))))))))</f>
        <v>PW34</v>
      </c>
      <c r="F19" s="32"/>
      <c r="G19" s="30"/>
      <c r="H19" s="36"/>
      <c r="I19" s="42">
        <f t="shared" si="0"/>
        <v>0</v>
      </c>
      <c r="J19" s="42" t="str">
        <f t="shared" si="1"/>
        <v/>
      </c>
      <c r="R19" s="30"/>
    </row>
    <row r="20" spans="1:18" x14ac:dyDescent="0.25">
      <c r="A20" s="12">
        <f>IF($B$3="MedPro",DumpFile!$S19,IF($B$3="PMHS",DumpFile!$J19,IF($B$3="PWR",DumpFile!$AB19,IF($B$3="MAPD",DumpFile!$A19,IF($B$3&lt;&gt;"MedPro",IF($B$3&lt;&gt;"PMHS",IF($B$3&lt;&gt;"PWR",IF($B$3&lt;&gt;"MAPD",""))))))))</f>
        <v>0.60416666666666696</v>
      </c>
      <c r="B20" s="29"/>
      <c r="C20" s="11" t="str">
        <f>IF($B$3="MedPro",DumpFile!$Z19,IF($B$3="PMHS",DumpFile!$Q19,IF($B$3="PWR",DumpFile!$AI19,IF($B$3="MAPD",DumpFile!$H19,IF($B$3&lt;&gt;"MedPro",IF($B$3&lt;&gt;"PMHS",IF($B$3&lt;&gt;"PWR",IF($B$3&lt;&gt;"MAPD",""))))))))</f>
        <v>PW68</v>
      </c>
      <c r="F20" s="32"/>
      <c r="G20" s="30"/>
      <c r="H20" s="36"/>
      <c r="I20" s="42">
        <f t="shared" si="0"/>
        <v>0</v>
      </c>
      <c r="J20" s="42" t="str">
        <f t="shared" si="1"/>
        <v/>
      </c>
      <c r="R20" s="30"/>
    </row>
    <row r="21" spans="1:18" x14ac:dyDescent="0.25">
      <c r="A21" s="12">
        <f>IF($B$3="MedPro",DumpFile!$S20,IF($B$3="PMHS",DumpFile!$J20,IF($B$3="PWR",DumpFile!$AB20,IF($B$3="MAPD",DumpFile!$A20,IF($B$3&lt;&gt;"MedPro",IF($B$3&lt;&gt;"PMHS",IF($B$3&lt;&gt;"PWR",IF($B$3&lt;&gt;"MAPD",""))))))))</f>
        <v>0.625</v>
      </c>
      <c r="B21" s="29"/>
      <c r="C21" s="11" t="str">
        <f>IF($B$3="MedPro",DumpFile!$Z20,IF($B$3="PMHS",DumpFile!$Q20,IF($B$3="PWR",DumpFile!$AI20,IF($B$3="MAPD",DumpFile!$H20,IF($B$3&lt;&gt;"MedPro",IF($B$3&lt;&gt;"PMHS",IF($B$3&lt;&gt;"PWR",IF($B$3&lt;&gt;"MAPD",""))))))))</f>
        <v>PW26</v>
      </c>
      <c r="F21" s="32"/>
      <c r="G21" s="30"/>
      <c r="H21" s="36"/>
      <c r="I21" s="42">
        <f t="shared" si="0"/>
        <v>0</v>
      </c>
      <c r="J21" s="42" t="str">
        <f t="shared" si="1"/>
        <v/>
      </c>
      <c r="R21" s="30"/>
    </row>
    <row r="22" spans="1:18" x14ac:dyDescent="0.25">
      <c r="A22" s="12">
        <f>IF($B$3="MedPro",DumpFile!$S21,IF($B$3="PMHS",DumpFile!$J21,IF($B$3="PWR",DumpFile!$AB21,IF($B$3="MAPD",DumpFile!$A21,IF($B$3&lt;&gt;"MedPro",IF($B$3&lt;&gt;"PMHS",IF($B$3&lt;&gt;"PWR",IF($B$3&lt;&gt;"MAPD",""))))))))</f>
        <v>0.64583333333333304</v>
      </c>
      <c r="B22" s="29"/>
      <c r="C22" s="11" t="str">
        <f>IF($B$3="MedPro",DumpFile!$Z21,IF($B$3="PMHS",DumpFile!$Q21,IF($B$3="PWR",DumpFile!$AI21,IF($B$3="MAPD",DumpFile!$H21,IF($B$3&lt;&gt;"MedPro",IF($B$3&lt;&gt;"PMHS",IF($B$3&lt;&gt;"PWR",IF($B$3&lt;&gt;"MAPD",""))))))))</f>
        <v>PW34</v>
      </c>
      <c r="F22" s="32"/>
      <c r="G22" s="30"/>
      <c r="H22" s="36"/>
      <c r="I22" s="42">
        <f t="shared" si="0"/>
        <v>0</v>
      </c>
      <c r="J22" s="42" t="str">
        <f t="shared" si="1"/>
        <v/>
      </c>
      <c r="R22" s="30"/>
    </row>
    <row r="23" spans="1:18" x14ac:dyDescent="0.25">
      <c r="A23" s="12">
        <f>IF($B$3="MedPro",DumpFile!$S22,IF($B$3="PMHS",DumpFile!$J22,IF($B$3="PWR",DumpFile!$AB22,IF($B$3="MAPD",DumpFile!$A22,IF($B$3&lt;&gt;"MedPro",IF($B$3&lt;&gt;"PMHS",IF($B$3&lt;&gt;"PWR",IF($B$3&lt;&gt;"MAPD",""))))))))</f>
        <v>0.66666666666666696</v>
      </c>
      <c r="B23" s="29"/>
      <c r="C23" s="11" t="str">
        <f>IF($B$3="MedPro",DumpFile!$Z22,IF($B$3="PMHS",DumpFile!$Q22,IF($B$3="PWR",DumpFile!$AI22,IF($B$3="MAPD",DumpFile!$H22,IF($B$3&lt;&gt;"MedPro",IF($B$3&lt;&gt;"PMHS",IF($B$3&lt;&gt;"PWR",IF($B$3&lt;&gt;"MAPD",""))))))))</f>
        <v>PW68</v>
      </c>
      <c r="F23" s="32"/>
      <c r="G23" s="30"/>
      <c r="H23" s="33"/>
      <c r="I23" s="42">
        <f t="shared" si="0"/>
        <v>0</v>
      </c>
      <c r="J23" s="42" t="str">
        <f t="shared" si="1"/>
        <v/>
      </c>
      <c r="R23" s="30"/>
    </row>
    <row r="24" spans="1:18" x14ac:dyDescent="0.25">
      <c r="A24" s="12">
        <f>IF($B$3="MedPro",DumpFile!$S23,IF($B$3="PMHS",DumpFile!$J23,IF($B$3="PWR",DumpFile!$AB23,IF($B$3="MAPD",DumpFile!$A23,IF($B$3&lt;&gt;"MedPro",IF($B$3&lt;&gt;"PMHS",IF($B$3&lt;&gt;"PWR",IF($B$3&lt;&gt;"MAPD",""))))))))</f>
        <v>0.6875</v>
      </c>
      <c r="B24" s="29"/>
      <c r="C24" s="11" t="str">
        <f>IF($B$3="MedPro",DumpFile!$Z23,IF($B$3="PMHS",DumpFile!$Q23,IF($B$3="PWR",DumpFile!$AI23,IF($B$3="MAPD",DumpFile!$H23,IF($B$3&lt;&gt;"MedPro",IF($B$3&lt;&gt;"PMHS",IF($B$3&lt;&gt;"PWR",IF($B$3&lt;&gt;"MAPD",""))))))))</f>
        <v>PW76</v>
      </c>
      <c r="F24" s="34"/>
      <c r="G24" s="30"/>
      <c r="H24" s="33"/>
      <c r="I24" s="42">
        <f t="shared" si="0"/>
        <v>0</v>
      </c>
      <c r="J24" s="42" t="str">
        <f t="shared" si="1"/>
        <v/>
      </c>
      <c r="R24" s="30"/>
    </row>
    <row r="25" spans="1:18" x14ac:dyDescent="0.25">
      <c r="A25" s="12">
        <f>IF($B$3="MedPro",DumpFile!$S24,IF($B$3="PMHS",DumpFile!$J24,IF($B$3="PWR",DumpFile!$AB24,IF($B$3="MAPD",DumpFile!$A24,IF($B$3&lt;&gt;"MedPro",IF($B$3&lt;&gt;"PMHS",IF($B$3&lt;&gt;"PWR",IF($B$3&lt;&gt;"MAPD",""))))))))</f>
        <v>0.70833333333333304</v>
      </c>
      <c r="B25" s="29"/>
      <c r="C25" s="11" t="str">
        <f>IF($B$3="MedPro",DumpFile!$Z24,IF($B$3="PMHS",DumpFile!$Q24,IF($B$3="PWR",DumpFile!$AI24,IF($B$3="MAPD",DumpFile!$H24,IF($B$3&lt;&gt;"MedPro",IF($B$3&lt;&gt;"PMHS",IF($B$3&lt;&gt;"PWR",IF($B$3&lt;&gt;"MAPD",""))))))))</f>
        <v>PW34</v>
      </c>
      <c r="F25" s="34"/>
      <c r="G25" s="30"/>
      <c r="H25" s="33"/>
      <c r="I25" s="42">
        <f t="shared" si="0"/>
        <v>0</v>
      </c>
      <c r="J25" s="42" t="str">
        <f t="shared" si="1"/>
        <v/>
      </c>
      <c r="R25" s="30"/>
    </row>
    <row r="26" spans="1:18" x14ac:dyDescent="0.25">
      <c r="A26" s="12">
        <f>IF($B$3="MedPro",DumpFile!$S25,IF($B$3="PMHS",DumpFile!$J25,IF($B$3="PWR",DumpFile!$AB25,IF($B$3="MAPD",DumpFile!$A25,IF($B$3&lt;&gt;"MedPro",IF($B$3&lt;&gt;"PMHS",IF($B$3&lt;&gt;"PWR",IF($B$3&lt;&gt;"MAPD",""))))))))</f>
        <v>0.72916666666666696</v>
      </c>
      <c r="B26" s="29"/>
      <c r="C26" s="11" t="str">
        <f>IF($B$3="MedPro",DumpFile!$Z25,IF($B$3="PMHS",DumpFile!$Q25,IF($B$3="PWR",DumpFile!$AI25,IF($B$3="MAPD",DumpFile!$H25,IF($B$3&lt;&gt;"MedPro",IF($B$3&lt;&gt;"PMHS",IF($B$3&lt;&gt;"PWR",IF($B$3&lt;&gt;"MAPD",""))))))))</f>
        <v>PW68</v>
      </c>
      <c r="F26" s="34"/>
      <c r="G26" s="30"/>
      <c r="H26" s="33"/>
      <c r="I26" s="42">
        <f t="shared" si="0"/>
        <v>0</v>
      </c>
      <c r="J26" s="42" t="str">
        <f t="shared" si="1"/>
        <v/>
      </c>
      <c r="R26" s="30"/>
    </row>
    <row r="27" spans="1:18" x14ac:dyDescent="0.25">
      <c r="A27" s="12">
        <f>IF($B$3="MedPro",DumpFile!$S26,IF($B$3="PMHS",DumpFile!$J26,IF($B$3="PWR",DumpFile!$AB26,IF($B$3="MAPD",DumpFile!$A26,IF($B$3&lt;&gt;"MedPro",IF($B$3&lt;&gt;"PMHS",IF($B$3&lt;&gt;"PWR",IF($B$3&lt;&gt;"MAPD",""))))))))</f>
        <v>0.75</v>
      </c>
      <c r="B27" s="29"/>
      <c r="C27" s="11" t="str">
        <f>IF($B$3="MedPro",DumpFile!$Z26,IF($B$3="PMHS",DumpFile!$Q26,IF($B$3="PWR",DumpFile!$AI26,IF($B$3="MAPD",DumpFile!$H26,IF($B$3&lt;&gt;"MedPro",IF($B$3&lt;&gt;"PMHS",IF($B$3&lt;&gt;"PWR",IF($B$3&lt;&gt;"MAPD",""))))))))</f>
        <v>PW76</v>
      </c>
      <c r="F27" s="34"/>
      <c r="G27" s="30"/>
      <c r="H27" s="33"/>
      <c r="I27" s="42">
        <f t="shared" si="0"/>
        <v>0</v>
      </c>
      <c r="J27" s="42" t="str">
        <f t="shared" si="1"/>
        <v/>
      </c>
      <c r="R27" s="30"/>
    </row>
    <row r="28" spans="1:18" x14ac:dyDescent="0.25">
      <c r="A28" s="12">
        <f>IF($B$3="MedPro",DumpFile!$S27,IF($B$3="PMHS",DumpFile!$J27,IF($B$3="PWR",DumpFile!$AB27,IF($B$3="MAPD",DumpFile!$A27,IF($B$3&lt;&gt;"MedPro",IF($B$3&lt;&gt;"PMHS",IF($B$3&lt;&gt;"PWR",IF($B$3&lt;&gt;"MAPD",""))))))))</f>
        <v>0.77083333333333304</v>
      </c>
      <c r="B28" s="29"/>
      <c r="C28" s="11" t="str">
        <f>IF($B$3="MedPro",DumpFile!$Z27,IF($B$3="PMHS",DumpFile!$Q27,IF($B$3="PWR",DumpFile!$AI27,IF($B$3="MAPD",DumpFile!$H27,IF($B$3&lt;&gt;"MedPro",IF($B$3&lt;&gt;"PMHS",IF($B$3&lt;&gt;"PWR",IF($B$3&lt;&gt;"MAPD",""))))))))</f>
        <v>PW34</v>
      </c>
      <c r="F28" s="34"/>
      <c r="G28" s="30"/>
      <c r="H28" s="33"/>
      <c r="I28" s="42">
        <f t="shared" si="0"/>
        <v>0</v>
      </c>
      <c r="J28" s="42" t="str">
        <f t="shared" si="1"/>
        <v/>
      </c>
      <c r="R28" s="30"/>
    </row>
    <row r="29" spans="1:18" ht="15.75" thickBot="1" x14ac:dyDescent="0.3">
      <c r="F29" s="3"/>
      <c r="H29" s="1"/>
      <c r="J29" s="43" t="str">
        <f>IFERROR(COUNTIF($J$5:$J$28,"&gt;=90")/COUNT($J$5:$J$28),"")</f>
        <v/>
      </c>
    </row>
    <row r="30" spans="1:18" ht="15.75" thickTop="1" x14ac:dyDescent="0.25">
      <c r="E30" s="8"/>
      <c r="F30" s="3"/>
      <c r="H30" s="1"/>
    </row>
    <row r="31" spans="1:18" x14ac:dyDescent="0.25">
      <c r="F31" s="34"/>
      <c r="G31" s="35"/>
      <c r="H31" s="33"/>
    </row>
    <row r="32" spans="1:18" x14ac:dyDescent="0.25">
      <c r="F32" s="34"/>
      <c r="G32" s="35"/>
      <c r="H32" s="33"/>
    </row>
    <row r="33" spans="6:8" x14ac:dyDescent="0.25">
      <c r="F33" s="34"/>
      <c r="G33" s="35"/>
      <c r="H33" s="33"/>
    </row>
    <row r="34" spans="6:8" x14ac:dyDescent="0.25">
      <c r="F34" s="34"/>
      <c r="G34" s="35"/>
      <c r="H34" s="33"/>
    </row>
    <row r="35" spans="6:8" x14ac:dyDescent="0.25">
      <c r="F35" s="34"/>
      <c r="G35" s="35"/>
      <c r="H35" s="33"/>
    </row>
    <row r="36" spans="6:8" x14ac:dyDescent="0.25">
      <c r="F36" s="34"/>
      <c r="G36" s="35"/>
      <c r="H36" s="33"/>
    </row>
    <row r="37" spans="6:8" x14ac:dyDescent="0.25">
      <c r="F37" s="34"/>
      <c r="G37" s="35"/>
      <c r="H37" s="33"/>
    </row>
    <row r="38" spans="6:8" x14ac:dyDescent="0.25">
      <c r="F38" s="34"/>
      <c r="G38" s="35"/>
      <c r="H38" s="33"/>
    </row>
    <row r="39" spans="6:8" x14ac:dyDescent="0.25">
      <c r="F39" s="34"/>
      <c r="G39" s="35"/>
      <c r="H39" s="33"/>
    </row>
    <row r="40" spans="6:8" x14ac:dyDescent="0.25">
      <c r="F40" s="34"/>
      <c r="G40" s="35"/>
      <c r="H40" s="33"/>
    </row>
    <row r="41" spans="6:8" x14ac:dyDescent="0.25">
      <c r="F41" s="34"/>
      <c r="G41" s="35"/>
      <c r="H41" s="33"/>
    </row>
    <row r="42" spans="6:8" x14ac:dyDescent="0.25">
      <c r="F42" s="34"/>
      <c r="G42" s="35"/>
      <c r="H42" s="33"/>
    </row>
    <row r="43" spans="6:8" x14ac:dyDescent="0.25">
      <c r="F43" s="34"/>
      <c r="G43" s="35"/>
      <c r="H43" s="33"/>
    </row>
    <row r="44" spans="6:8" x14ac:dyDescent="0.25">
      <c r="F44" s="34"/>
      <c r="G44" s="35"/>
      <c r="H44" s="33"/>
    </row>
    <row r="45" spans="6:8" x14ac:dyDescent="0.25">
      <c r="F45" s="34"/>
      <c r="G45" s="35"/>
      <c r="H45" s="33"/>
    </row>
    <row r="46" spans="6:8" x14ac:dyDescent="0.25">
      <c r="F46" s="34"/>
      <c r="G46" s="35"/>
      <c r="H46" s="33"/>
    </row>
    <row r="47" spans="6:8" x14ac:dyDescent="0.25">
      <c r="F47" s="34"/>
      <c r="G47" s="35"/>
      <c r="H47" s="33"/>
    </row>
    <row r="48" spans="6:8" x14ac:dyDescent="0.25">
      <c r="F48" s="34"/>
      <c r="G48" s="35"/>
      <c r="H48" s="33"/>
    </row>
    <row r="49" spans="6:8" x14ac:dyDescent="0.25">
      <c r="F49" s="34"/>
      <c r="G49" s="35"/>
      <c r="H49" s="33"/>
    </row>
    <row r="50" spans="6:8" x14ac:dyDescent="0.25">
      <c r="F50" s="34"/>
      <c r="G50" s="35"/>
      <c r="H50" s="33"/>
    </row>
    <row r="51" spans="6:8" x14ac:dyDescent="0.25">
      <c r="F51" s="34"/>
      <c r="G51" s="35"/>
      <c r="H51" s="33"/>
    </row>
    <row r="52" spans="6:8" x14ac:dyDescent="0.25">
      <c r="F52" s="34"/>
      <c r="G52" s="35"/>
      <c r="H52" s="33"/>
    </row>
    <row r="53" spans="6:8" x14ac:dyDescent="0.25">
      <c r="F53" s="34"/>
      <c r="G53" s="35"/>
      <c r="H53" s="33"/>
    </row>
    <row r="54" spans="6:8" x14ac:dyDescent="0.25">
      <c r="F54" s="34"/>
      <c r="G54" s="35"/>
      <c r="H54" s="33"/>
    </row>
    <row r="55" spans="6:8" x14ac:dyDescent="0.25">
      <c r="F55" s="3"/>
      <c r="H55" s="1"/>
    </row>
    <row r="56" spans="6:8" x14ac:dyDescent="0.25">
      <c r="F56" s="3"/>
      <c r="H56" s="1"/>
    </row>
    <row r="57" spans="6:8" x14ac:dyDescent="0.25">
      <c r="F57" s="3"/>
      <c r="H57" s="1"/>
    </row>
    <row r="58" spans="6:8" x14ac:dyDescent="0.25">
      <c r="F58" s="3"/>
      <c r="H58" s="1"/>
    </row>
    <row r="59" spans="6:8" x14ac:dyDescent="0.25">
      <c r="F59" s="3"/>
      <c r="H59" s="1"/>
    </row>
    <row r="60" spans="6:8" x14ac:dyDescent="0.25">
      <c r="F60" s="3"/>
      <c r="H60" s="1"/>
    </row>
    <row r="61" spans="6:8" x14ac:dyDescent="0.25">
      <c r="F61" s="3"/>
      <c r="H61" s="1"/>
    </row>
    <row r="62" spans="6:8" x14ac:dyDescent="0.25">
      <c r="F62" s="3"/>
      <c r="H62" s="1"/>
    </row>
    <row r="63" spans="6:8" x14ac:dyDescent="0.25">
      <c r="F63" s="3"/>
      <c r="H63" s="1"/>
    </row>
    <row r="64" spans="6:8" x14ac:dyDescent="0.25">
      <c r="F64" s="3"/>
      <c r="H64" s="1"/>
    </row>
    <row r="65" spans="6:8" x14ac:dyDescent="0.25">
      <c r="F65" s="3"/>
      <c r="H65" s="1"/>
    </row>
    <row r="66" spans="6:8" x14ac:dyDescent="0.25">
      <c r="F66" s="3"/>
      <c r="H66" s="1"/>
    </row>
    <row r="67" spans="6:8" x14ac:dyDescent="0.25">
      <c r="F67" s="3"/>
      <c r="H67" s="1"/>
    </row>
    <row r="68" spans="6:8" x14ac:dyDescent="0.25">
      <c r="F68" s="3"/>
      <c r="H68" s="1"/>
    </row>
    <row r="69" spans="6:8" x14ac:dyDescent="0.25">
      <c r="F69" s="3"/>
      <c r="H69" s="1"/>
    </row>
    <row r="70" spans="6:8" x14ac:dyDescent="0.25">
      <c r="F70" s="3"/>
      <c r="H70" s="1"/>
    </row>
    <row r="71" spans="6:8" x14ac:dyDescent="0.25">
      <c r="F71" s="3"/>
      <c r="H71" s="1"/>
    </row>
    <row r="72" spans="6:8" x14ac:dyDescent="0.25">
      <c r="F72" s="3"/>
      <c r="H72" s="1"/>
    </row>
    <row r="73" spans="6:8" x14ac:dyDescent="0.25">
      <c r="F73" s="3"/>
      <c r="H73" s="1"/>
    </row>
    <row r="74" spans="6:8" x14ac:dyDescent="0.25">
      <c r="F74" s="3"/>
      <c r="H74" s="1"/>
    </row>
    <row r="75" spans="6:8" x14ac:dyDescent="0.25">
      <c r="F75" s="3"/>
      <c r="H75" s="1"/>
    </row>
    <row r="76" spans="6:8" x14ac:dyDescent="0.25">
      <c r="F76" s="3"/>
      <c r="H76" s="1"/>
    </row>
    <row r="77" spans="6:8" x14ac:dyDescent="0.25">
      <c r="F77" s="3"/>
      <c r="H77" s="1"/>
    </row>
    <row r="78" spans="6:8" x14ac:dyDescent="0.25">
      <c r="F78" s="3"/>
      <c r="H78" s="1"/>
    </row>
    <row r="79" spans="6:8" x14ac:dyDescent="0.25">
      <c r="F79" s="3"/>
      <c r="H79" s="1"/>
    </row>
    <row r="80" spans="6:8" x14ac:dyDescent="0.25">
      <c r="F80" s="3"/>
      <c r="H80" s="1"/>
    </row>
    <row r="81" spans="6:8" x14ac:dyDescent="0.25">
      <c r="F81" s="3"/>
      <c r="H81" s="1"/>
    </row>
    <row r="82" spans="6:8" x14ac:dyDescent="0.25">
      <c r="F82" s="3"/>
      <c r="H82" s="1"/>
    </row>
    <row r="83" spans="6:8" x14ac:dyDescent="0.25">
      <c r="F83" s="3"/>
      <c r="H83" s="1"/>
    </row>
    <row r="84" spans="6:8" x14ac:dyDescent="0.25">
      <c r="F84" s="3"/>
      <c r="H84" s="1"/>
    </row>
    <row r="85" spans="6:8" x14ac:dyDescent="0.25">
      <c r="F85" s="3"/>
      <c r="H85" s="1"/>
    </row>
    <row r="86" spans="6:8" x14ac:dyDescent="0.25">
      <c r="F86" s="3"/>
      <c r="H86" s="1"/>
    </row>
    <row r="87" spans="6:8" x14ac:dyDescent="0.25">
      <c r="F87" s="3"/>
      <c r="H87" s="1"/>
    </row>
    <row r="88" spans="6:8" x14ac:dyDescent="0.25">
      <c r="F88" s="3"/>
      <c r="H88" s="1"/>
    </row>
    <row r="89" spans="6:8" x14ac:dyDescent="0.25">
      <c r="F89" s="3"/>
      <c r="H89" s="1"/>
    </row>
    <row r="90" spans="6:8" x14ac:dyDescent="0.25">
      <c r="F90" s="3"/>
      <c r="H90" s="1"/>
    </row>
    <row r="91" spans="6:8" x14ac:dyDescent="0.25">
      <c r="F91" s="3"/>
      <c r="H91" s="1"/>
    </row>
    <row r="92" spans="6:8" x14ac:dyDescent="0.25">
      <c r="F92" s="3"/>
      <c r="H92" s="1"/>
    </row>
    <row r="93" spans="6:8" x14ac:dyDescent="0.25">
      <c r="F93" s="3"/>
      <c r="H93" s="1"/>
    </row>
    <row r="94" spans="6:8" x14ac:dyDescent="0.25">
      <c r="F94" s="3"/>
      <c r="H94" s="1"/>
    </row>
    <row r="95" spans="6:8" x14ac:dyDescent="0.25">
      <c r="F95" s="3"/>
      <c r="H95" s="1"/>
    </row>
    <row r="96" spans="6:8" x14ac:dyDescent="0.25">
      <c r="F96" s="3"/>
      <c r="H96" s="1"/>
    </row>
    <row r="97" spans="6:8" x14ac:dyDescent="0.25">
      <c r="F97" s="3"/>
      <c r="H97" s="1"/>
    </row>
    <row r="98" spans="6:8" x14ac:dyDescent="0.25">
      <c r="F98" s="3"/>
      <c r="H98" s="1"/>
    </row>
    <row r="99" spans="6:8" x14ac:dyDescent="0.25">
      <c r="F99" s="3"/>
      <c r="H99" s="1"/>
    </row>
    <row r="100" spans="6:8" x14ac:dyDescent="0.25">
      <c r="F100" s="3"/>
      <c r="H100" s="1"/>
    </row>
    <row r="101" spans="6:8" x14ac:dyDescent="0.25">
      <c r="F101" s="3"/>
      <c r="H101" s="1"/>
    </row>
    <row r="102" spans="6:8" x14ac:dyDescent="0.25">
      <c r="F102" s="3"/>
      <c r="H102" s="1"/>
    </row>
    <row r="103" spans="6:8" x14ac:dyDescent="0.25">
      <c r="F103" s="3"/>
      <c r="H103" s="1"/>
    </row>
    <row r="104" spans="6:8" x14ac:dyDescent="0.25">
      <c r="F104" s="3"/>
      <c r="H104" s="1"/>
    </row>
    <row r="105" spans="6:8" x14ac:dyDescent="0.25">
      <c r="F105" s="3"/>
      <c r="H105" s="1"/>
    </row>
    <row r="106" spans="6:8" x14ac:dyDescent="0.25">
      <c r="F106" s="3"/>
      <c r="H106" s="1"/>
    </row>
    <row r="107" spans="6:8" x14ac:dyDescent="0.25">
      <c r="F107" s="3"/>
      <c r="H107" s="1"/>
    </row>
    <row r="108" spans="6:8" x14ac:dyDescent="0.25">
      <c r="F108" s="3"/>
      <c r="H108" s="1"/>
    </row>
    <row r="109" spans="6:8" x14ac:dyDescent="0.25">
      <c r="F109" s="3"/>
      <c r="H109" s="1"/>
    </row>
    <row r="110" spans="6:8" x14ac:dyDescent="0.25">
      <c r="F110" s="3"/>
      <c r="H110" s="1"/>
    </row>
    <row r="111" spans="6:8" x14ac:dyDescent="0.25">
      <c r="F111" s="3"/>
      <c r="H111" s="1"/>
    </row>
    <row r="112" spans="6:8" x14ac:dyDescent="0.25">
      <c r="F112" s="3"/>
      <c r="H112" s="1"/>
    </row>
    <row r="113" spans="6:8" x14ac:dyDescent="0.25">
      <c r="F113" s="3"/>
      <c r="H113" s="1"/>
    </row>
    <row r="114" spans="6:8" x14ac:dyDescent="0.25">
      <c r="F114" s="3"/>
      <c r="H114" s="1"/>
    </row>
    <row r="115" spans="6:8" x14ac:dyDescent="0.25">
      <c r="F115" s="3"/>
      <c r="H115" s="1"/>
    </row>
    <row r="116" spans="6:8" x14ac:dyDescent="0.25">
      <c r="F116" s="3"/>
      <c r="H116" s="1"/>
    </row>
    <row r="117" spans="6:8" x14ac:dyDescent="0.25">
      <c r="F117" s="3"/>
      <c r="H117" s="1"/>
    </row>
    <row r="118" spans="6:8" x14ac:dyDescent="0.25">
      <c r="F118" s="3"/>
      <c r="H118" s="1"/>
    </row>
    <row r="119" spans="6:8" x14ac:dyDescent="0.25">
      <c r="F119" s="3"/>
      <c r="H119" s="1"/>
    </row>
    <row r="120" spans="6:8" x14ac:dyDescent="0.25">
      <c r="F120" s="3"/>
      <c r="H120" s="1"/>
    </row>
    <row r="121" spans="6:8" x14ac:dyDescent="0.25">
      <c r="F121" s="3"/>
      <c r="H121" s="1"/>
    </row>
    <row r="122" spans="6:8" x14ac:dyDescent="0.25">
      <c r="F122" s="3"/>
      <c r="H122" s="1"/>
    </row>
    <row r="123" spans="6:8" x14ac:dyDescent="0.25">
      <c r="F123" s="3"/>
      <c r="H123" s="1"/>
    </row>
    <row r="124" spans="6:8" x14ac:dyDescent="0.25">
      <c r="F124" s="3"/>
      <c r="H124" s="1"/>
    </row>
    <row r="125" spans="6:8" x14ac:dyDescent="0.25">
      <c r="F125" s="3"/>
      <c r="H125" s="1"/>
    </row>
    <row r="126" spans="6:8" x14ac:dyDescent="0.25">
      <c r="F126" s="3"/>
      <c r="H126" s="1"/>
    </row>
    <row r="127" spans="6:8" x14ac:dyDescent="0.25">
      <c r="F127" s="3"/>
      <c r="H127" s="1"/>
    </row>
    <row r="128" spans="6:8" x14ac:dyDescent="0.25">
      <c r="F128" s="3"/>
      <c r="H128" s="1"/>
    </row>
    <row r="129" spans="6:8" x14ac:dyDescent="0.25">
      <c r="F129" s="3"/>
      <c r="H129" s="1"/>
    </row>
    <row r="130" spans="6:8" x14ac:dyDescent="0.25">
      <c r="F130" s="3"/>
      <c r="H130" s="1"/>
    </row>
    <row r="131" spans="6:8" x14ac:dyDescent="0.25">
      <c r="F131" s="3"/>
      <c r="H131" s="1"/>
    </row>
    <row r="132" spans="6:8" x14ac:dyDescent="0.25">
      <c r="F132" s="3"/>
      <c r="H132" s="1"/>
    </row>
    <row r="133" spans="6:8" x14ac:dyDescent="0.25">
      <c r="F133" s="3"/>
      <c r="H133" s="1"/>
    </row>
    <row r="134" spans="6:8" x14ac:dyDescent="0.25">
      <c r="F134" s="3"/>
      <c r="H134" s="1"/>
    </row>
    <row r="135" spans="6:8" x14ac:dyDescent="0.25">
      <c r="F135" s="3"/>
      <c r="H135" s="1"/>
    </row>
    <row r="136" spans="6:8" x14ac:dyDescent="0.25">
      <c r="F136" s="3"/>
      <c r="H136" s="1"/>
    </row>
    <row r="137" spans="6:8" x14ac:dyDescent="0.25">
      <c r="F137" s="3"/>
      <c r="H137" s="1"/>
    </row>
    <row r="138" spans="6:8" x14ac:dyDescent="0.25">
      <c r="F138" s="3"/>
      <c r="H138" s="1"/>
    </row>
    <row r="139" spans="6:8" x14ac:dyDescent="0.25">
      <c r="F139" s="3"/>
      <c r="H139" s="1"/>
    </row>
    <row r="140" spans="6:8" x14ac:dyDescent="0.25">
      <c r="F140" s="3"/>
      <c r="H140" s="1"/>
    </row>
    <row r="141" spans="6:8" x14ac:dyDescent="0.25">
      <c r="F141" s="3"/>
      <c r="H141" s="1"/>
    </row>
    <row r="142" spans="6:8" x14ac:dyDescent="0.25">
      <c r="F142" s="3"/>
      <c r="H142" s="1"/>
    </row>
    <row r="143" spans="6:8" x14ac:dyDescent="0.25">
      <c r="F143" s="3"/>
      <c r="H143" s="1"/>
    </row>
    <row r="144" spans="6:8" x14ac:dyDescent="0.25">
      <c r="F144" s="3"/>
      <c r="H144" s="1"/>
    </row>
    <row r="145" spans="6:8" x14ac:dyDescent="0.25">
      <c r="F145" s="3"/>
      <c r="H145" s="1"/>
    </row>
    <row r="146" spans="6:8" x14ac:dyDescent="0.25">
      <c r="F146" s="3"/>
      <c r="H146" s="1"/>
    </row>
    <row r="147" spans="6:8" x14ac:dyDescent="0.25">
      <c r="F147" s="3"/>
      <c r="H147" s="1"/>
    </row>
    <row r="148" spans="6:8" x14ac:dyDescent="0.25">
      <c r="F148" s="3"/>
      <c r="H148" s="1"/>
    </row>
    <row r="149" spans="6:8" x14ac:dyDescent="0.25">
      <c r="F149" s="3"/>
      <c r="H149" s="1"/>
    </row>
    <row r="150" spans="6:8" x14ac:dyDescent="0.25">
      <c r="F150" s="3"/>
      <c r="H150" s="1"/>
    </row>
    <row r="151" spans="6:8" x14ac:dyDescent="0.25">
      <c r="F151" s="3"/>
      <c r="H151" s="1"/>
    </row>
    <row r="152" spans="6:8" x14ac:dyDescent="0.25">
      <c r="F152" s="3"/>
      <c r="H152" s="1"/>
    </row>
    <row r="153" spans="6:8" x14ac:dyDescent="0.25">
      <c r="F153" s="3"/>
      <c r="H153" s="1"/>
    </row>
    <row r="154" spans="6:8" x14ac:dyDescent="0.25">
      <c r="F154" s="3"/>
      <c r="H154" s="1"/>
    </row>
    <row r="155" spans="6:8" x14ac:dyDescent="0.25">
      <c r="F155" s="3"/>
      <c r="H155" s="1"/>
    </row>
    <row r="156" spans="6:8" x14ac:dyDescent="0.25">
      <c r="F156" s="3"/>
      <c r="H156" s="1"/>
    </row>
    <row r="157" spans="6:8" x14ac:dyDescent="0.25">
      <c r="F157" s="3"/>
      <c r="H157" s="1"/>
    </row>
    <row r="158" spans="6:8" x14ac:dyDescent="0.25">
      <c r="F158" s="3"/>
      <c r="H158" s="1"/>
    </row>
    <row r="159" spans="6:8" x14ac:dyDescent="0.25">
      <c r="F159" s="3"/>
      <c r="H159" s="1"/>
    </row>
    <row r="160" spans="6:8" x14ac:dyDescent="0.25">
      <c r="F160" s="3"/>
      <c r="H160" s="1"/>
    </row>
    <row r="161" spans="6:8" x14ac:dyDescent="0.25">
      <c r="F161" s="3"/>
      <c r="H161" s="1"/>
    </row>
    <row r="162" spans="6:8" x14ac:dyDescent="0.25">
      <c r="F162" s="3"/>
      <c r="H162" s="1"/>
    </row>
    <row r="163" spans="6:8" x14ac:dyDescent="0.25">
      <c r="F163" s="3"/>
      <c r="H163" s="1"/>
    </row>
    <row r="164" spans="6:8" x14ac:dyDescent="0.25">
      <c r="F164" s="3"/>
      <c r="H164" s="1"/>
    </row>
    <row r="165" spans="6:8" x14ac:dyDescent="0.25">
      <c r="F165" s="3"/>
      <c r="H165" s="1"/>
    </row>
    <row r="166" spans="6:8" x14ac:dyDescent="0.25">
      <c r="F166" s="3"/>
      <c r="H166" s="1"/>
    </row>
    <row r="167" spans="6:8" x14ac:dyDescent="0.25">
      <c r="F167" s="3"/>
      <c r="H167" s="1"/>
    </row>
    <row r="168" spans="6:8" x14ac:dyDescent="0.25">
      <c r="F168" s="3"/>
      <c r="H168" s="1"/>
    </row>
    <row r="169" spans="6:8" x14ac:dyDescent="0.25">
      <c r="F169" s="3"/>
      <c r="H169" s="1"/>
    </row>
    <row r="170" spans="6:8" x14ac:dyDescent="0.25">
      <c r="F170" s="3"/>
      <c r="H170" s="1"/>
    </row>
    <row r="171" spans="6:8" x14ac:dyDescent="0.25">
      <c r="F171" s="3"/>
      <c r="H171" s="1"/>
    </row>
    <row r="172" spans="6:8" x14ac:dyDescent="0.25">
      <c r="F172" s="3"/>
      <c r="H172" s="1"/>
    </row>
    <row r="173" spans="6:8" x14ac:dyDescent="0.25">
      <c r="F173" s="3"/>
      <c r="H173" s="1"/>
    </row>
    <row r="174" spans="6:8" x14ac:dyDescent="0.25">
      <c r="F174" s="3"/>
      <c r="H174" s="1"/>
    </row>
    <row r="175" spans="6:8" x14ac:dyDescent="0.25">
      <c r="F175" s="3"/>
      <c r="H175" s="1"/>
    </row>
    <row r="176" spans="6:8" x14ac:dyDescent="0.25">
      <c r="F176" s="3"/>
      <c r="H176" s="1"/>
    </row>
    <row r="177" spans="6:8" x14ac:dyDescent="0.25">
      <c r="F177" s="3"/>
      <c r="H177" s="1"/>
    </row>
    <row r="178" spans="6:8" x14ac:dyDescent="0.25">
      <c r="F178" s="3"/>
      <c r="H178" s="1"/>
    </row>
    <row r="179" spans="6:8" x14ac:dyDescent="0.25">
      <c r="F179" s="3"/>
      <c r="H179" s="1"/>
    </row>
    <row r="180" spans="6:8" x14ac:dyDescent="0.25">
      <c r="F180" s="3"/>
      <c r="H180" s="1"/>
    </row>
    <row r="181" spans="6:8" x14ac:dyDescent="0.25">
      <c r="F181" s="3"/>
      <c r="H181" s="1"/>
    </row>
    <row r="182" spans="6:8" x14ac:dyDescent="0.25">
      <c r="F182" s="3"/>
      <c r="H182" s="1"/>
    </row>
    <row r="183" spans="6:8" x14ac:dyDescent="0.25">
      <c r="F183" s="3"/>
      <c r="H183" s="1"/>
    </row>
    <row r="184" spans="6:8" x14ac:dyDescent="0.25">
      <c r="F184" s="3"/>
      <c r="H184" s="1"/>
    </row>
    <row r="185" spans="6:8" x14ac:dyDescent="0.25">
      <c r="F185" s="3"/>
      <c r="H185" s="1"/>
    </row>
    <row r="186" spans="6:8" x14ac:dyDescent="0.25">
      <c r="F186" s="3"/>
      <c r="H186" s="1"/>
    </row>
    <row r="187" spans="6:8" x14ac:dyDescent="0.25">
      <c r="F187" s="3"/>
      <c r="H187" s="1"/>
    </row>
    <row r="188" spans="6:8" x14ac:dyDescent="0.25">
      <c r="F188" s="3"/>
      <c r="H188" s="1"/>
    </row>
    <row r="189" spans="6:8" x14ac:dyDescent="0.25">
      <c r="F189" s="3"/>
      <c r="H189" s="1"/>
    </row>
    <row r="190" spans="6:8" x14ac:dyDescent="0.25">
      <c r="F190" s="3"/>
      <c r="H190" s="1"/>
    </row>
    <row r="191" spans="6:8" x14ac:dyDescent="0.25">
      <c r="F191" s="3"/>
      <c r="H191" s="1"/>
    </row>
    <row r="192" spans="6:8" x14ac:dyDescent="0.25">
      <c r="F192" s="3"/>
      <c r="H192" s="1"/>
    </row>
    <row r="193" spans="6:8" x14ac:dyDescent="0.25">
      <c r="F193" s="3"/>
      <c r="H193" s="1"/>
    </row>
    <row r="194" spans="6:8" x14ac:dyDescent="0.25">
      <c r="F194" s="3"/>
      <c r="H194" s="1"/>
    </row>
    <row r="195" spans="6:8" x14ac:dyDescent="0.25">
      <c r="F195" s="3"/>
      <c r="H195" s="1"/>
    </row>
    <row r="196" spans="6:8" x14ac:dyDescent="0.25">
      <c r="F196" s="3"/>
      <c r="H196" s="1"/>
    </row>
    <row r="197" spans="6:8" x14ac:dyDescent="0.25">
      <c r="F197" s="3"/>
      <c r="H197" s="1"/>
    </row>
    <row r="198" spans="6:8" x14ac:dyDescent="0.25">
      <c r="F198" s="3"/>
      <c r="H198" s="1"/>
    </row>
    <row r="199" spans="6:8" x14ac:dyDescent="0.25">
      <c r="F199" s="3"/>
      <c r="H199" s="1"/>
    </row>
    <row r="200" spans="6:8" x14ac:dyDescent="0.25">
      <c r="F200" s="3"/>
      <c r="H200" s="1"/>
    </row>
    <row r="201" spans="6:8" x14ac:dyDescent="0.25">
      <c r="F201" s="3"/>
      <c r="H201" s="1"/>
    </row>
    <row r="202" spans="6:8" x14ac:dyDescent="0.25">
      <c r="F202" s="3"/>
      <c r="H202" s="1"/>
    </row>
    <row r="203" spans="6:8" x14ac:dyDescent="0.25">
      <c r="F203" s="3"/>
      <c r="H203" s="1"/>
    </row>
    <row r="204" spans="6:8" x14ac:dyDescent="0.25">
      <c r="F204" s="3"/>
      <c r="H204" s="1"/>
    </row>
    <row r="205" spans="6:8" x14ac:dyDescent="0.25">
      <c r="F205" s="3"/>
      <c r="H205" s="1"/>
    </row>
    <row r="206" spans="6:8" x14ac:dyDescent="0.25">
      <c r="F206" s="3"/>
      <c r="H206" s="1"/>
    </row>
    <row r="207" spans="6:8" x14ac:dyDescent="0.25">
      <c r="F207" s="3"/>
      <c r="H207" s="1"/>
    </row>
    <row r="208" spans="6:8" x14ac:dyDescent="0.25">
      <c r="F208" s="3"/>
      <c r="H208" s="1"/>
    </row>
    <row r="209" spans="6:8" x14ac:dyDescent="0.25">
      <c r="F209" s="3"/>
      <c r="H209" s="1"/>
    </row>
    <row r="210" spans="6:8" x14ac:dyDescent="0.25">
      <c r="F210" s="3"/>
      <c r="H210" s="1"/>
    </row>
    <row r="211" spans="6:8" x14ac:dyDescent="0.25">
      <c r="F211" s="3"/>
      <c r="H211" s="1"/>
    </row>
    <row r="212" spans="6:8" x14ac:dyDescent="0.25">
      <c r="F212" s="3"/>
      <c r="H212" s="1"/>
    </row>
    <row r="213" spans="6:8" x14ac:dyDescent="0.25">
      <c r="F213" s="3"/>
      <c r="H213" s="1"/>
    </row>
    <row r="214" spans="6:8" x14ac:dyDescent="0.25">
      <c r="F214" s="3"/>
      <c r="H214" s="1"/>
    </row>
    <row r="215" spans="6:8" x14ac:dyDescent="0.25">
      <c r="F215" s="3"/>
      <c r="H215" s="1"/>
    </row>
    <row r="216" spans="6:8" x14ac:dyDescent="0.25">
      <c r="F216" s="3"/>
      <c r="H216" s="1"/>
    </row>
    <row r="217" spans="6:8" x14ac:dyDescent="0.25">
      <c r="F217" s="3"/>
      <c r="H217" s="1"/>
    </row>
    <row r="218" spans="6:8" x14ac:dyDescent="0.25">
      <c r="F218" s="3"/>
      <c r="H218" s="1"/>
    </row>
    <row r="219" spans="6:8" x14ac:dyDescent="0.25">
      <c r="F219" s="3"/>
      <c r="H219" s="1"/>
    </row>
    <row r="220" spans="6:8" x14ac:dyDescent="0.25">
      <c r="F220" s="3"/>
      <c r="H220" s="1"/>
    </row>
    <row r="221" spans="6:8" x14ac:dyDescent="0.25">
      <c r="F221" s="3"/>
      <c r="H221" s="1"/>
    </row>
    <row r="222" spans="6:8" x14ac:dyDescent="0.25">
      <c r="F222" s="3"/>
      <c r="H222" s="1"/>
    </row>
    <row r="223" spans="6:8" x14ac:dyDescent="0.25">
      <c r="F223" s="3"/>
      <c r="H223" s="1"/>
    </row>
    <row r="224" spans="6:8" x14ac:dyDescent="0.25">
      <c r="F224" s="3"/>
      <c r="H224" s="1"/>
    </row>
    <row r="225" spans="6:8" x14ac:dyDescent="0.25">
      <c r="F225" s="3"/>
      <c r="H225" s="1"/>
    </row>
    <row r="226" spans="6:8" x14ac:dyDescent="0.25">
      <c r="F226" s="3"/>
      <c r="H226" s="1"/>
    </row>
    <row r="227" spans="6:8" x14ac:dyDescent="0.25">
      <c r="F227" s="3"/>
      <c r="H227" s="1"/>
    </row>
    <row r="228" spans="6:8" x14ac:dyDescent="0.25">
      <c r="F228" s="3"/>
      <c r="H228" s="1"/>
    </row>
    <row r="229" spans="6:8" x14ac:dyDescent="0.25">
      <c r="F229" s="3"/>
      <c r="H229" s="1"/>
    </row>
    <row r="230" spans="6:8" x14ac:dyDescent="0.25">
      <c r="F230" s="3"/>
      <c r="H230" s="1"/>
    </row>
    <row r="231" spans="6:8" x14ac:dyDescent="0.25">
      <c r="F231" s="3"/>
      <c r="H231" s="1"/>
    </row>
    <row r="232" spans="6:8" x14ac:dyDescent="0.25">
      <c r="F232" s="3"/>
      <c r="H232" s="1"/>
    </row>
    <row r="233" spans="6:8" x14ac:dyDescent="0.25">
      <c r="F233" s="3"/>
      <c r="H233" s="1"/>
    </row>
    <row r="234" spans="6:8" x14ac:dyDescent="0.25">
      <c r="F234" s="3"/>
      <c r="H234" s="1"/>
    </row>
    <row r="235" spans="6:8" x14ac:dyDescent="0.25">
      <c r="F235" s="3"/>
      <c r="H235" s="1"/>
    </row>
    <row r="236" spans="6:8" x14ac:dyDescent="0.25">
      <c r="F236" s="3"/>
      <c r="H236" s="1"/>
    </row>
    <row r="237" spans="6:8" x14ac:dyDescent="0.25">
      <c r="F237" s="3"/>
      <c r="H237" s="1"/>
    </row>
    <row r="238" spans="6:8" x14ac:dyDescent="0.25">
      <c r="F238" s="3"/>
      <c r="H238" s="1"/>
    </row>
    <row r="239" spans="6:8" x14ac:dyDescent="0.25">
      <c r="F239" s="3"/>
      <c r="H239" s="1"/>
    </row>
    <row r="240" spans="6:8" x14ac:dyDescent="0.25">
      <c r="F240" s="3"/>
      <c r="H240" s="1"/>
    </row>
    <row r="241" spans="6:8" x14ac:dyDescent="0.25">
      <c r="F241" s="3"/>
      <c r="H241" s="1"/>
    </row>
    <row r="242" spans="6:8" x14ac:dyDescent="0.25">
      <c r="F242" s="3"/>
      <c r="H242" s="1"/>
    </row>
    <row r="243" spans="6:8" x14ac:dyDescent="0.25">
      <c r="F243" s="3"/>
      <c r="H243" s="1"/>
    </row>
    <row r="244" spans="6:8" x14ac:dyDescent="0.25">
      <c r="F244" s="3"/>
      <c r="H244" s="1"/>
    </row>
    <row r="245" spans="6:8" x14ac:dyDescent="0.25">
      <c r="F245" s="3"/>
      <c r="H245" s="1"/>
    </row>
    <row r="246" spans="6:8" x14ac:dyDescent="0.25">
      <c r="F246" s="3"/>
      <c r="H246" s="1"/>
    </row>
    <row r="247" spans="6:8" x14ac:dyDescent="0.25">
      <c r="F247" s="3"/>
      <c r="H247" s="1"/>
    </row>
    <row r="248" spans="6:8" x14ac:dyDescent="0.25">
      <c r="F248" s="3"/>
      <c r="H248" s="1"/>
    </row>
    <row r="249" spans="6:8" x14ac:dyDescent="0.25">
      <c r="F249" s="3"/>
      <c r="H249" s="1"/>
    </row>
    <row r="250" spans="6:8" x14ac:dyDescent="0.25">
      <c r="F250" s="3"/>
      <c r="H250" s="1"/>
    </row>
    <row r="251" spans="6:8" x14ac:dyDescent="0.25">
      <c r="F251" s="3"/>
      <c r="H251" s="1"/>
    </row>
    <row r="252" spans="6:8" x14ac:dyDescent="0.25">
      <c r="F252" s="3"/>
      <c r="H252" s="1"/>
    </row>
    <row r="253" spans="6:8" x14ac:dyDescent="0.25">
      <c r="F253" s="3"/>
      <c r="H253" s="1"/>
    </row>
    <row r="254" spans="6:8" x14ac:dyDescent="0.25">
      <c r="F254" s="3"/>
      <c r="H254" s="1"/>
    </row>
    <row r="255" spans="6:8" x14ac:dyDescent="0.25">
      <c r="F255" s="3"/>
      <c r="H255" s="1"/>
    </row>
    <row r="256" spans="6:8" x14ac:dyDescent="0.25">
      <c r="F256" s="3"/>
      <c r="H256" s="1"/>
    </row>
    <row r="257" spans="6:8" x14ac:dyDescent="0.25">
      <c r="F257" s="3"/>
      <c r="H257" s="1"/>
    </row>
    <row r="258" spans="6:8" x14ac:dyDescent="0.25">
      <c r="F258" s="3"/>
      <c r="H258" s="1"/>
    </row>
    <row r="259" spans="6:8" x14ac:dyDescent="0.25">
      <c r="F259" s="3"/>
      <c r="H259" s="1"/>
    </row>
    <row r="260" spans="6:8" x14ac:dyDescent="0.25">
      <c r="F260" s="3"/>
      <c r="H260" s="1"/>
    </row>
    <row r="261" spans="6:8" x14ac:dyDescent="0.25">
      <c r="F261" s="3"/>
      <c r="H261" s="1"/>
    </row>
    <row r="262" spans="6:8" x14ac:dyDescent="0.25">
      <c r="F262" s="3"/>
      <c r="H262" s="1"/>
    </row>
    <row r="263" spans="6:8" x14ac:dyDescent="0.25">
      <c r="F263" s="3"/>
      <c r="H263" s="1"/>
    </row>
    <row r="264" spans="6:8" x14ac:dyDescent="0.25">
      <c r="F264" s="3"/>
      <c r="H264" s="1"/>
    </row>
    <row r="265" spans="6:8" x14ac:dyDescent="0.25">
      <c r="F265" s="3"/>
      <c r="H265" s="1"/>
    </row>
    <row r="266" spans="6:8" x14ac:dyDescent="0.25">
      <c r="F266" s="3"/>
      <c r="H266" s="1"/>
    </row>
    <row r="267" spans="6:8" x14ac:dyDescent="0.25">
      <c r="F267" s="3"/>
      <c r="H267" s="1"/>
    </row>
    <row r="268" spans="6:8" x14ac:dyDescent="0.25">
      <c r="F268" s="3"/>
      <c r="H268" s="1"/>
    </row>
    <row r="269" spans="6:8" x14ac:dyDescent="0.25">
      <c r="F269" s="3"/>
      <c r="H269" s="1"/>
    </row>
    <row r="270" spans="6:8" x14ac:dyDescent="0.25">
      <c r="F270" s="3"/>
      <c r="H270" s="1"/>
    </row>
    <row r="271" spans="6:8" x14ac:dyDescent="0.25">
      <c r="F271" s="3"/>
      <c r="H271" s="1"/>
    </row>
    <row r="272" spans="6:8" x14ac:dyDescent="0.25">
      <c r="F272" s="3"/>
      <c r="H272" s="1"/>
    </row>
    <row r="273" spans="6:8" x14ac:dyDescent="0.25">
      <c r="F273" s="3"/>
      <c r="H273" s="1"/>
    </row>
    <row r="274" spans="6:8" x14ac:dyDescent="0.25">
      <c r="F274" s="3"/>
      <c r="H274" s="1"/>
    </row>
    <row r="275" spans="6:8" x14ac:dyDescent="0.25">
      <c r="F275" s="3"/>
      <c r="H275" s="1"/>
    </row>
    <row r="276" spans="6:8" x14ac:dyDescent="0.25">
      <c r="F276" s="3"/>
      <c r="H276" s="1"/>
    </row>
    <row r="277" spans="6:8" x14ac:dyDescent="0.25">
      <c r="F277" s="3"/>
      <c r="H277" s="1"/>
    </row>
    <row r="278" spans="6:8" x14ac:dyDescent="0.25">
      <c r="F278" s="3"/>
      <c r="H278" s="1"/>
    </row>
    <row r="279" spans="6:8" x14ac:dyDescent="0.25">
      <c r="F279" s="3"/>
      <c r="H279" s="1"/>
    </row>
    <row r="280" spans="6:8" x14ac:dyDescent="0.25">
      <c r="F280" s="3"/>
      <c r="H280" s="1"/>
    </row>
    <row r="281" spans="6:8" x14ac:dyDescent="0.25">
      <c r="F281" s="3"/>
      <c r="H281" s="1"/>
    </row>
    <row r="282" spans="6:8" x14ac:dyDescent="0.25">
      <c r="F282" s="3"/>
      <c r="H282" s="1"/>
    </row>
    <row r="283" spans="6:8" x14ac:dyDescent="0.25">
      <c r="F283" s="3"/>
      <c r="H283" s="1"/>
    </row>
    <row r="284" spans="6:8" x14ac:dyDescent="0.25">
      <c r="F284" s="3"/>
      <c r="H284" s="1"/>
    </row>
    <row r="285" spans="6:8" x14ac:dyDescent="0.25">
      <c r="F285" s="3"/>
      <c r="H285" s="1"/>
    </row>
    <row r="286" spans="6:8" x14ac:dyDescent="0.25">
      <c r="F286" s="3"/>
      <c r="H286" s="1"/>
    </row>
    <row r="287" spans="6:8" x14ac:dyDescent="0.25">
      <c r="F287" s="3"/>
      <c r="H287" s="1"/>
    </row>
    <row r="288" spans="6:8" x14ac:dyDescent="0.25">
      <c r="F288" s="3"/>
      <c r="H288" s="1"/>
    </row>
    <row r="289" spans="6:8" x14ac:dyDescent="0.25">
      <c r="F289" s="3"/>
      <c r="H289" s="1"/>
    </row>
    <row r="290" spans="6:8" x14ac:dyDescent="0.25">
      <c r="F290" s="3"/>
      <c r="H290" s="1"/>
    </row>
    <row r="291" spans="6:8" x14ac:dyDescent="0.25">
      <c r="F291" s="3"/>
      <c r="H291" s="1"/>
    </row>
    <row r="292" spans="6:8" x14ac:dyDescent="0.25">
      <c r="F292" s="3"/>
      <c r="H292" s="1"/>
    </row>
    <row r="293" spans="6:8" x14ac:dyDescent="0.25">
      <c r="F293" s="3"/>
      <c r="H293" s="1"/>
    </row>
    <row r="294" spans="6:8" x14ac:dyDescent="0.25">
      <c r="F294" s="3"/>
      <c r="H294" s="1"/>
    </row>
    <row r="295" spans="6:8" x14ac:dyDescent="0.25">
      <c r="F295" s="3"/>
      <c r="H295" s="1"/>
    </row>
    <row r="296" spans="6:8" x14ac:dyDescent="0.25">
      <c r="F296" s="3"/>
      <c r="H296" s="1"/>
    </row>
    <row r="297" spans="6:8" x14ac:dyDescent="0.25">
      <c r="F297" s="3"/>
      <c r="H297" s="1"/>
    </row>
    <row r="298" spans="6:8" x14ac:dyDescent="0.25">
      <c r="F298" s="3"/>
      <c r="H298" s="1"/>
    </row>
    <row r="299" spans="6:8" x14ac:dyDescent="0.25">
      <c r="F299" s="3"/>
      <c r="H299" s="1"/>
    </row>
    <row r="300" spans="6:8" x14ac:dyDescent="0.25">
      <c r="F300" s="3"/>
      <c r="H300" s="1"/>
    </row>
    <row r="301" spans="6:8" x14ac:dyDescent="0.25">
      <c r="F301" s="3"/>
      <c r="H301" s="1"/>
    </row>
    <row r="302" spans="6:8" x14ac:dyDescent="0.25">
      <c r="F302" s="3"/>
      <c r="H302" s="1"/>
    </row>
    <row r="303" spans="6:8" x14ac:dyDescent="0.25">
      <c r="F303" s="3"/>
      <c r="H303" s="1"/>
    </row>
    <row r="304" spans="6:8" x14ac:dyDescent="0.25">
      <c r="F304" s="3"/>
      <c r="H304" s="1"/>
    </row>
    <row r="305" spans="6:8" x14ac:dyDescent="0.25">
      <c r="F305" s="3"/>
      <c r="H305" s="1"/>
    </row>
    <row r="306" spans="6:8" x14ac:dyDescent="0.25">
      <c r="F306" s="3"/>
      <c r="H306" s="1"/>
    </row>
    <row r="307" spans="6:8" x14ac:dyDescent="0.25">
      <c r="F307" s="3"/>
      <c r="H307" s="1"/>
    </row>
    <row r="308" spans="6:8" x14ac:dyDescent="0.25">
      <c r="F308" s="3"/>
      <c r="H308" s="1"/>
    </row>
    <row r="309" spans="6:8" x14ac:dyDescent="0.25">
      <c r="F309" s="3"/>
      <c r="H309" s="1"/>
    </row>
    <row r="310" spans="6:8" x14ac:dyDescent="0.25">
      <c r="F310" s="3"/>
      <c r="H310" s="1"/>
    </row>
    <row r="311" spans="6:8" x14ac:dyDescent="0.25">
      <c r="F311" s="3"/>
      <c r="H311" s="1"/>
    </row>
    <row r="312" spans="6:8" x14ac:dyDescent="0.25">
      <c r="F312" s="3"/>
      <c r="H312" s="1"/>
    </row>
    <row r="313" spans="6:8" x14ac:dyDescent="0.25">
      <c r="F313" s="3"/>
      <c r="H313" s="1"/>
    </row>
    <row r="314" spans="6:8" x14ac:dyDescent="0.25">
      <c r="F314" s="3"/>
      <c r="H314" s="1"/>
    </row>
    <row r="315" spans="6:8" x14ac:dyDescent="0.25">
      <c r="F315" s="3"/>
      <c r="H315" s="1"/>
    </row>
    <row r="316" spans="6:8" x14ac:dyDescent="0.25">
      <c r="F316" s="3"/>
      <c r="H316" s="1"/>
    </row>
    <row r="317" spans="6:8" x14ac:dyDescent="0.25">
      <c r="F317" s="3"/>
      <c r="H317" s="1"/>
    </row>
    <row r="318" spans="6:8" x14ac:dyDescent="0.25">
      <c r="F318" s="3"/>
      <c r="H318" s="1"/>
    </row>
    <row r="319" spans="6:8" x14ac:dyDescent="0.25">
      <c r="F319" s="3"/>
      <c r="H319" s="1"/>
    </row>
    <row r="320" spans="6:8" x14ac:dyDescent="0.25">
      <c r="F320" s="3"/>
      <c r="H320" s="1"/>
    </row>
    <row r="321" spans="6:8" x14ac:dyDescent="0.25">
      <c r="F321" s="3"/>
      <c r="H321" s="1"/>
    </row>
    <row r="322" spans="6:8" x14ac:dyDescent="0.25">
      <c r="F322" s="3"/>
      <c r="H322" s="1"/>
    </row>
    <row r="323" spans="6:8" x14ac:dyDescent="0.25">
      <c r="F323" s="3"/>
      <c r="H323" s="1"/>
    </row>
    <row r="324" spans="6:8" x14ac:dyDescent="0.25">
      <c r="F324" s="3"/>
      <c r="H324" s="1"/>
    </row>
    <row r="325" spans="6:8" x14ac:dyDescent="0.25">
      <c r="F325" s="3"/>
      <c r="H325" s="1"/>
    </row>
    <row r="326" spans="6:8" x14ac:dyDescent="0.25">
      <c r="F326" s="3"/>
      <c r="H326" s="1"/>
    </row>
    <row r="327" spans="6:8" x14ac:dyDescent="0.25">
      <c r="F327" s="3"/>
      <c r="H327" s="1"/>
    </row>
    <row r="328" spans="6:8" x14ac:dyDescent="0.25">
      <c r="F328" s="3"/>
      <c r="H328" s="1"/>
    </row>
    <row r="329" spans="6:8" x14ac:dyDescent="0.25">
      <c r="F329" s="3"/>
      <c r="H329" s="1"/>
    </row>
    <row r="330" spans="6:8" x14ac:dyDescent="0.25">
      <c r="F330" s="3"/>
      <c r="H330" s="1"/>
    </row>
    <row r="331" spans="6:8" x14ac:dyDescent="0.25">
      <c r="F331" s="3"/>
      <c r="H331" s="1"/>
    </row>
    <row r="332" spans="6:8" x14ac:dyDescent="0.25">
      <c r="F332" s="3"/>
      <c r="H332" s="1"/>
    </row>
    <row r="333" spans="6:8" x14ac:dyDescent="0.25">
      <c r="F333" s="3"/>
      <c r="H333" s="1"/>
    </row>
    <row r="334" spans="6:8" x14ac:dyDescent="0.25">
      <c r="F334" s="3"/>
      <c r="H334" s="1"/>
    </row>
    <row r="335" spans="6:8" x14ac:dyDescent="0.25">
      <c r="F335" s="3"/>
      <c r="H335" s="1"/>
    </row>
    <row r="336" spans="6:8" x14ac:dyDescent="0.25">
      <c r="F336" s="3"/>
      <c r="H336" s="1"/>
    </row>
    <row r="337" spans="6:8" x14ac:dyDescent="0.25">
      <c r="F337" s="3"/>
      <c r="H337" s="1"/>
    </row>
    <row r="338" spans="6:8" x14ac:dyDescent="0.25">
      <c r="F338" s="3"/>
      <c r="H338" s="1"/>
    </row>
    <row r="339" spans="6:8" x14ac:dyDescent="0.25">
      <c r="F339" s="3"/>
      <c r="H339" s="1"/>
    </row>
    <row r="340" spans="6:8" x14ac:dyDescent="0.25">
      <c r="F340" s="3"/>
      <c r="H340" s="1"/>
    </row>
    <row r="341" spans="6:8" x14ac:dyDescent="0.25">
      <c r="F341" s="3"/>
      <c r="H341" s="1"/>
    </row>
    <row r="342" spans="6:8" x14ac:dyDescent="0.25">
      <c r="F342" s="3"/>
      <c r="H342" s="1"/>
    </row>
    <row r="343" spans="6:8" x14ac:dyDescent="0.25">
      <c r="F343" s="3"/>
      <c r="H343" s="1"/>
    </row>
    <row r="344" spans="6:8" x14ac:dyDescent="0.25">
      <c r="F344" s="3"/>
      <c r="H344" s="1"/>
    </row>
    <row r="345" spans="6:8" x14ac:dyDescent="0.25">
      <c r="F345" s="3"/>
      <c r="H345" s="1"/>
    </row>
    <row r="346" spans="6:8" x14ac:dyDescent="0.25">
      <c r="F346" s="3"/>
      <c r="H346" s="1"/>
    </row>
    <row r="347" spans="6:8" x14ac:dyDescent="0.25">
      <c r="F347" s="3"/>
      <c r="H347" s="1"/>
    </row>
    <row r="348" spans="6:8" x14ac:dyDescent="0.25">
      <c r="F348" s="3"/>
      <c r="H348" s="1"/>
    </row>
    <row r="349" spans="6:8" x14ac:dyDescent="0.25">
      <c r="F349" s="3"/>
      <c r="H349" s="1"/>
    </row>
    <row r="350" spans="6:8" x14ac:dyDescent="0.25">
      <c r="F350" s="3"/>
      <c r="H350" s="1"/>
    </row>
    <row r="351" spans="6:8" x14ac:dyDescent="0.25">
      <c r="F351" s="3"/>
      <c r="H351" s="1"/>
    </row>
    <row r="352" spans="6:8" x14ac:dyDescent="0.25">
      <c r="F352" s="3"/>
      <c r="H352" s="1"/>
    </row>
    <row r="353" spans="6:8" x14ac:dyDescent="0.25">
      <c r="F353" s="3"/>
      <c r="H353" s="1"/>
    </row>
    <row r="354" spans="6:8" x14ac:dyDescent="0.25">
      <c r="F354" s="3"/>
      <c r="H354" s="1"/>
    </row>
    <row r="355" spans="6:8" x14ac:dyDescent="0.25">
      <c r="F355" s="3"/>
      <c r="H355" s="1"/>
    </row>
    <row r="356" spans="6:8" x14ac:dyDescent="0.25">
      <c r="F356" s="3"/>
      <c r="H356" s="1"/>
    </row>
    <row r="357" spans="6:8" x14ac:dyDescent="0.25">
      <c r="F357" s="3"/>
      <c r="H357" s="1"/>
    </row>
    <row r="358" spans="6:8" x14ac:dyDescent="0.25">
      <c r="F358" s="3"/>
      <c r="H358" s="1"/>
    </row>
    <row r="359" spans="6:8" x14ac:dyDescent="0.25">
      <c r="F359" s="3"/>
      <c r="H359" s="1"/>
    </row>
    <row r="360" spans="6:8" x14ac:dyDescent="0.25">
      <c r="F360" s="3"/>
      <c r="H360" s="1"/>
    </row>
    <row r="361" spans="6:8" x14ac:dyDescent="0.25">
      <c r="F361" s="3"/>
      <c r="H361" s="1"/>
    </row>
    <row r="362" spans="6:8" x14ac:dyDescent="0.25">
      <c r="F362" s="3"/>
      <c r="H362" s="1"/>
    </row>
    <row r="363" spans="6:8" x14ac:dyDescent="0.25">
      <c r="F363" s="3"/>
      <c r="H363" s="1"/>
    </row>
    <row r="364" spans="6:8" x14ac:dyDescent="0.25">
      <c r="F364" s="3"/>
      <c r="H364" s="1"/>
    </row>
    <row r="365" spans="6:8" x14ac:dyDescent="0.25">
      <c r="F365" s="3"/>
      <c r="H365" s="1"/>
    </row>
    <row r="366" spans="6:8" x14ac:dyDescent="0.25">
      <c r="F366" s="3"/>
      <c r="H366" s="1"/>
    </row>
    <row r="367" spans="6:8" x14ac:dyDescent="0.25">
      <c r="F367" s="3"/>
      <c r="H367" s="1"/>
    </row>
    <row r="368" spans="6:8" x14ac:dyDescent="0.25">
      <c r="F368" s="3"/>
      <c r="H368" s="1"/>
    </row>
    <row r="369" spans="6:8" x14ac:dyDescent="0.25">
      <c r="F369" s="3"/>
      <c r="H369" s="1"/>
    </row>
    <row r="370" spans="6:8" x14ac:dyDescent="0.25">
      <c r="F370" s="3"/>
      <c r="H370" s="1"/>
    </row>
    <row r="371" spans="6:8" x14ac:dyDescent="0.25">
      <c r="F371" s="3"/>
      <c r="H371" s="1"/>
    </row>
    <row r="372" spans="6:8" x14ac:dyDescent="0.25">
      <c r="F372" s="3"/>
      <c r="H372" s="1"/>
    </row>
    <row r="373" spans="6:8" x14ac:dyDescent="0.25">
      <c r="F373" s="3"/>
      <c r="H373" s="1"/>
    </row>
    <row r="374" spans="6:8" x14ac:dyDescent="0.25">
      <c r="F374" s="3"/>
      <c r="H374" s="1"/>
    </row>
    <row r="375" spans="6:8" x14ac:dyDescent="0.25">
      <c r="F375" s="3"/>
      <c r="H375" s="1"/>
    </row>
    <row r="376" spans="6:8" x14ac:dyDescent="0.25">
      <c r="F376" s="3"/>
      <c r="H376" s="1"/>
    </row>
    <row r="377" spans="6:8" x14ac:dyDescent="0.25">
      <c r="F377" s="3"/>
      <c r="H377" s="1"/>
    </row>
    <row r="378" spans="6:8" x14ac:dyDescent="0.25">
      <c r="F378" s="3"/>
      <c r="H378" s="1"/>
    </row>
    <row r="379" spans="6:8" x14ac:dyDescent="0.25">
      <c r="F379" s="3"/>
      <c r="H379" s="1"/>
    </row>
    <row r="380" spans="6:8" x14ac:dyDescent="0.25">
      <c r="F380" s="3"/>
      <c r="H380" s="1"/>
    </row>
    <row r="381" spans="6:8" x14ac:dyDescent="0.25">
      <c r="F381" s="3"/>
      <c r="H381" s="1"/>
    </row>
    <row r="382" spans="6:8" x14ac:dyDescent="0.25">
      <c r="F382" s="3"/>
      <c r="H382" s="1"/>
    </row>
    <row r="383" spans="6:8" x14ac:dyDescent="0.25">
      <c r="F383" s="3"/>
      <c r="H383" s="1"/>
    </row>
    <row r="384" spans="6:8" x14ac:dyDescent="0.25">
      <c r="F384" s="3"/>
      <c r="H384" s="1"/>
    </row>
    <row r="385" spans="6:8" x14ac:dyDescent="0.25">
      <c r="F385" s="3"/>
      <c r="H385" s="1"/>
    </row>
    <row r="386" spans="6:8" x14ac:dyDescent="0.25">
      <c r="F386" s="3"/>
      <c r="H386" s="1"/>
    </row>
    <row r="387" spans="6:8" x14ac:dyDescent="0.25">
      <c r="F387" s="3"/>
      <c r="H387" s="1"/>
    </row>
    <row r="388" spans="6:8" x14ac:dyDescent="0.25">
      <c r="F388" s="3"/>
      <c r="H388" s="1"/>
    </row>
    <row r="389" spans="6:8" x14ac:dyDescent="0.25">
      <c r="F389" s="3"/>
      <c r="H389" s="1"/>
    </row>
    <row r="390" spans="6:8" x14ac:dyDescent="0.25">
      <c r="F390" s="3"/>
      <c r="H390" s="1"/>
    </row>
    <row r="391" spans="6:8" x14ac:dyDescent="0.25">
      <c r="F391" s="3"/>
      <c r="H391" s="1"/>
    </row>
    <row r="392" spans="6:8" x14ac:dyDescent="0.25">
      <c r="F392" s="3"/>
      <c r="H392" s="1"/>
    </row>
    <row r="393" spans="6:8" x14ac:dyDescent="0.25">
      <c r="F393" s="3"/>
      <c r="H393" s="1"/>
    </row>
    <row r="394" spans="6:8" x14ac:dyDescent="0.25">
      <c r="F394" s="3"/>
      <c r="H394" s="1"/>
    </row>
    <row r="395" spans="6:8" x14ac:dyDescent="0.25">
      <c r="F395" s="3"/>
      <c r="H395" s="1"/>
    </row>
    <row r="396" spans="6:8" x14ac:dyDescent="0.25">
      <c r="F396" s="3"/>
      <c r="H396" s="1"/>
    </row>
    <row r="397" spans="6:8" x14ac:dyDescent="0.25">
      <c r="F397" s="3"/>
      <c r="H397" s="1"/>
    </row>
    <row r="398" spans="6:8" x14ac:dyDescent="0.25">
      <c r="F398" s="3"/>
      <c r="H398" s="1"/>
    </row>
    <row r="399" spans="6:8" x14ac:dyDescent="0.25">
      <c r="F399" s="3"/>
      <c r="H399" s="1"/>
    </row>
    <row r="400" spans="6:8" x14ac:dyDescent="0.25">
      <c r="F400" s="3"/>
      <c r="H400" s="1"/>
    </row>
    <row r="401" spans="6:8" x14ac:dyDescent="0.25">
      <c r="F401" s="3"/>
      <c r="H401" s="1"/>
    </row>
    <row r="402" spans="6:8" x14ac:dyDescent="0.25">
      <c r="F402" s="3"/>
      <c r="H402" s="1"/>
    </row>
    <row r="403" spans="6:8" x14ac:dyDescent="0.25">
      <c r="F403" s="3"/>
      <c r="H403" s="1"/>
    </row>
    <row r="404" spans="6:8" x14ac:dyDescent="0.25">
      <c r="F404" s="3"/>
      <c r="H404" s="1"/>
    </row>
    <row r="405" spans="6:8" x14ac:dyDescent="0.25">
      <c r="F405" s="3"/>
      <c r="H405" s="1"/>
    </row>
    <row r="406" spans="6:8" x14ac:dyDescent="0.25">
      <c r="F406" s="3"/>
      <c r="H406" s="1"/>
    </row>
    <row r="407" spans="6:8" x14ac:dyDescent="0.25">
      <c r="F407" s="3"/>
      <c r="H407" s="1"/>
    </row>
    <row r="408" spans="6:8" x14ac:dyDescent="0.25">
      <c r="F408" s="3"/>
      <c r="H408" s="1"/>
    </row>
    <row r="409" spans="6:8" x14ac:dyDescent="0.25">
      <c r="F409" s="3"/>
      <c r="H409" s="1"/>
    </row>
    <row r="410" spans="6:8" x14ac:dyDescent="0.25">
      <c r="F410" s="3"/>
      <c r="H410" s="1"/>
    </row>
    <row r="411" spans="6:8" x14ac:dyDescent="0.25">
      <c r="F411" s="3"/>
      <c r="H411" s="1"/>
    </row>
    <row r="412" spans="6:8" x14ac:dyDescent="0.25">
      <c r="F412" s="3"/>
      <c r="H412" s="1"/>
    </row>
    <row r="413" spans="6:8" x14ac:dyDescent="0.25">
      <c r="F413" s="3"/>
      <c r="H413" s="1"/>
    </row>
    <row r="414" spans="6:8" x14ac:dyDescent="0.25">
      <c r="F414" s="3"/>
      <c r="H414" s="1"/>
    </row>
    <row r="415" spans="6:8" x14ac:dyDescent="0.25">
      <c r="F415" s="3"/>
      <c r="H415" s="1"/>
    </row>
    <row r="416" spans="6:8" x14ac:dyDescent="0.25">
      <c r="F416" s="3"/>
      <c r="H416" s="1"/>
    </row>
    <row r="417" spans="6:8" x14ac:dyDescent="0.25">
      <c r="F417" s="3"/>
      <c r="H417" s="1"/>
    </row>
    <row r="418" spans="6:8" x14ac:dyDescent="0.25">
      <c r="F418" s="3"/>
      <c r="H418" s="1"/>
    </row>
    <row r="419" spans="6:8" x14ac:dyDescent="0.25">
      <c r="F419" s="3"/>
      <c r="H419" s="1"/>
    </row>
    <row r="420" spans="6:8" x14ac:dyDescent="0.25">
      <c r="F420" s="3"/>
      <c r="H420" s="1"/>
    </row>
    <row r="421" spans="6:8" x14ac:dyDescent="0.25">
      <c r="F421" s="3"/>
      <c r="H421" s="1"/>
    </row>
    <row r="422" spans="6:8" x14ac:dyDescent="0.25">
      <c r="F422" s="3"/>
      <c r="H422" s="1"/>
    </row>
    <row r="423" spans="6:8" x14ac:dyDescent="0.25">
      <c r="F423" s="3"/>
      <c r="H423" s="1"/>
    </row>
    <row r="424" spans="6:8" x14ac:dyDescent="0.25">
      <c r="F424" s="3"/>
      <c r="H424" s="1"/>
    </row>
    <row r="425" spans="6:8" x14ac:dyDescent="0.25">
      <c r="F425" s="3"/>
      <c r="H425" s="1"/>
    </row>
    <row r="426" spans="6:8" x14ac:dyDescent="0.25">
      <c r="F426" s="3"/>
      <c r="H426" s="1"/>
    </row>
    <row r="427" spans="6:8" x14ac:dyDescent="0.25">
      <c r="F427" s="3"/>
      <c r="H427" s="1"/>
    </row>
    <row r="428" spans="6:8" x14ac:dyDescent="0.25">
      <c r="F428" s="3"/>
      <c r="H428" s="1"/>
    </row>
    <row r="429" spans="6:8" x14ac:dyDescent="0.25">
      <c r="F429" s="3"/>
      <c r="H429" s="1"/>
    </row>
    <row r="430" spans="6:8" x14ac:dyDescent="0.25">
      <c r="F430" s="3"/>
      <c r="H430" s="1"/>
    </row>
    <row r="431" spans="6:8" x14ac:dyDescent="0.25">
      <c r="F431" s="3"/>
      <c r="H431" s="1"/>
    </row>
    <row r="432" spans="6:8" x14ac:dyDescent="0.25">
      <c r="F432" s="3"/>
      <c r="H432" s="1"/>
    </row>
    <row r="433" spans="6:8" x14ac:dyDescent="0.25">
      <c r="F433" s="3"/>
      <c r="H433" s="1"/>
    </row>
    <row r="434" spans="6:8" x14ac:dyDescent="0.25">
      <c r="F434" s="3"/>
      <c r="H434" s="1"/>
    </row>
    <row r="435" spans="6:8" x14ac:dyDescent="0.25">
      <c r="F435" s="3"/>
      <c r="H435" s="1"/>
    </row>
    <row r="436" spans="6:8" x14ac:dyDescent="0.25">
      <c r="F436" s="3"/>
      <c r="H436" s="1"/>
    </row>
    <row r="437" spans="6:8" x14ac:dyDescent="0.25">
      <c r="F437" s="3"/>
      <c r="H437" s="1"/>
    </row>
    <row r="438" spans="6:8" x14ac:dyDescent="0.25">
      <c r="F438" s="3"/>
      <c r="H438" s="1"/>
    </row>
    <row r="439" spans="6:8" x14ac:dyDescent="0.25">
      <c r="F439" s="3"/>
      <c r="H439" s="1"/>
    </row>
    <row r="440" spans="6:8" x14ac:dyDescent="0.25">
      <c r="F440" s="3"/>
      <c r="H440" s="1"/>
    </row>
    <row r="441" spans="6:8" x14ac:dyDescent="0.25">
      <c r="F441" s="3"/>
      <c r="H441" s="1"/>
    </row>
    <row r="442" spans="6:8" x14ac:dyDescent="0.25">
      <c r="F442" s="3"/>
      <c r="H442" s="1"/>
    </row>
    <row r="443" spans="6:8" x14ac:dyDescent="0.25">
      <c r="F443" s="3"/>
      <c r="H443" s="1"/>
    </row>
    <row r="444" spans="6:8" x14ac:dyDescent="0.25">
      <c r="F444" s="3"/>
      <c r="H444" s="1"/>
    </row>
    <row r="445" spans="6:8" x14ac:dyDescent="0.25">
      <c r="F445" s="3"/>
      <c r="H445" s="1"/>
    </row>
    <row r="446" spans="6:8" x14ac:dyDescent="0.25">
      <c r="F446" s="3"/>
      <c r="H446" s="1"/>
    </row>
    <row r="447" spans="6:8" x14ac:dyDescent="0.25">
      <c r="F447" s="3"/>
      <c r="H447" s="1"/>
    </row>
    <row r="448" spans="6:8" x14ac:dyDescent="0.25">
      <c r="F448" s="3"/>
      <c r="H448" s="1"/>
    </row>
    <row r="449" spans="6:8" x14ac:dyDescent="0.25">
      <c r="F449" s="3"/>
      <c r="H449" s="1"/>
    </row>
    <row r="450" spans="6:8" x14ac:dyDescent="0.25">
      <c r="F450" s="3"/>
      <c r="H450" s="1"/>
    </row>
    <row r="451" spans="6:8" x14ac:dyDescent="0.25">
      <c r="F451" s="3"/>
      <c r="H451" s="1"/>
    </row>
    <row r="452" spans="6:8" x14ac:dyDescent="0.25">
      <c r="F452" s="3"/>
      <c r="H452" s="1"/>
    </row>
    <row r="453" spans="6:8" x14ac:dyDescent="0.25">
      <c r="F453" s="3"/>
      <c r="H453" s="1"/>
    </row>
    <row r="454" spans="6:8" x14ac:dyDescent="0.25">
      <c r="F454" s="3"/>
      <c r="H454" s="1"/>
    </row>
    <row r="455" spans="6:8" x14ac:dyDescent="0.25">
      <c r="F455" s="3"/>
      <c r="H455" s="1"/>
    </row>
    <row r="456" spans="6:8" x14ac:dyDescent="0.25">
      <c r="F456" s="3"/>
      <c r="H456" s="1"/>
    </row>
    <row r="457" spans="6:8" x14ac:dyDescent="0.25">
      <c r="F457" s="3"/>
      <c r="H457" s="1"/>
    </row>
    <row r="458" spans="6:8" x14ac:dyDescent="0.25">
      <c r="F458" s="3"/>
      <c r="H458" s="1"/>
    </row>
    <row r="459" spans="6:8" x14ac:dyDescent="0.25">
      <c r="F459" s="3"/>
      <c r="H459" s="1"/>
    </row>
    <row r="460" spans="6:8" x14ac:dyDescent="0.25">
      <c r="F460" s="3"/>
      <c r="H460" s="1"/>
    </row>
    <row r="461" spans="6:8" x14ac:dyDescent="0.25">
      <c r="F461" s="3"/>
      <c r="H461" s="1"/>
    </row>
    <row r="462" spans="6:8" x14ac:dyDescent="0.25">
      <c r="F462" s="3"/>
      <c r="H462" s="1"/>
    </row>
    <row r="463" spans="6:8" x14ac:dyDescent="0.25">
      <c r="F463" s="3"/>
      <c r="H463" s="1"/>
    </row>
    <row r="464" spans="6:8" x14ac:dyDescent="0.25">
      <c r="F464" s="3"/>
      <c r="H464" s="1"/>
    </row>
    <row r="465" spans="6:8" x14ac:dyDescent="0.25">
      <c r="F465" s="3"/>
      <c r="H465" s="1"/>
    </row>
    <row r="466" spans="6:8" x14ac:dyDescent="0.25">
      <c r="F466" s="3"/>
      <c r="H466" s="1"/>
    </row>
    <row r="467" spans="6:8" x14ac:dyDescent="0.25">
      <c r="F467" s="3"/>
      <c r="H467" s="1"/>
    </row>
    <row r="468" spans="6:8" x14ac:dyDescent="0.25">
      <c r="F468" s="3"/>
      <c r="H468" s="1"/>
    </row>
    <row r="469" spans="6:8" x14ac:dyDescent="0.25">
      <c r="F469" s="3"/>
      <c r="H469" s="1"/>
    </row>
    <row r="470" spans="6:8" x14ac:dyDescent="0.25">
      <c r="F470" s="3"/>
      <c r="H470" s="1"/>
    </row>
    <row r="471" spans="6:8" x14ac:dyDescent="0.25">
      <c r="F471" s="3"/>
      <c r="H471" s="1"/>
    </row>
    <row r="472" spans="6:8" x14ac:dyDescent="0.25">
      <c r="F472" s="3"/>
      <c r="H472" s="1"/>
    </row>
    <row r="473" spans="6:8" x14ac:dyDescent="0.25">
      <c r="F473" s="3"/>
      <c r="H473" s="1"/>
    </row>
    <row r="474" spans="6:8" x14ac:dyDescent="0.25">
      <c r="F474" s="3"/>
      <c r="H474" s="1"/>
    </row>
    <row r="475" spans="6:8" x14ac:dyDescent="0.25">
      <c r="F475" s="3"/>
      <c r="H475" s="1"/>
    </row>
    <row r="476" spans="6:8" x14ac:dyDescent="0.25">
      <c r="F476" s="3"/>
      <c r="H476" s="1"/>
    </row>
    <row r="477" spans="6:8" x14ac:dyDescent="0.25">
      <c r="F477" s="3"/>
      <c r="H477" s="1"/>
    </row>
    <row r="478" spans="6:8" x14ac:dyDescent="0.25">
      <c r="F478" s="3"/>
      <c r="H478" s="1"/>
    </row>
    <row r="479" spans="6:8" x14ac:dyDescent="0.25">
      <c r="F479" s="3"/>
      <c r="H479" s="1"/>
    </row>
    <row r="480" spans="6:8" x14ac:dyDescent="0.25">
      <c r="F480" s="3"/>
      <c r="H480" s="1"/>
    </row>
    <row r="481" spans="6:8" x14ac:dyDescent="0.25">
      <c r="F481" s="3"/>
      <c r="H481" s="1"/>
    </row>
    <row r="482" spans="6:8" x14ac:dyDescent="0.25">
      <c r="F482" s="3"/>
      <c r="H482" s="1"/>
    </row>
    <row r="483" spans="6:8" x14ac:dyDescent="0.25">
      <c r="F483" s="3"/>
      <c r="H483" s="1"/>
    </row>
    <row r="484" spans="6:8" x14ac:dyDescent="0.25">
      <c r="F484" s="3"/>
      <c r="H484" s="1"/>
    </row>
    <row r="485" spans="6:8" x14ac:dyDescent="0.25">
      <c r="F485" s="3"/>
      <c r="H485" s="1"/>
    </row>
    <row r="486" spans="6:8" x14ac:dyDescent="0.25">
      <c r="F486" s="3"/>
      <c r="H486" s="1"/>
    </row>
    <row r="487" spans="6:8" x14ac:dyDescent="0.25">
      <c r="F487" s="3"/>
      <c r="H487" s="1"/>
    </row>
    <row r="488" spans="6:8" x14ac:dyDescent="0.25">
      <c r="F488" s="3"/>
      <c r="H488" s="1"/>
    </row>
    <row r="489" spans="6:8" x14ac:dyDescent="0.25">
      <c r="F489" s="3"/>
      <c r="H489" s="1"/>
    </row>
    <row r="490" spans="6:8" x14ac:dyDescent="0.25">
      <c r="F490" s="3"/>
      <c r="H490" s="1"/>
    </row>
    <row r="491" spans="6:8" x14ac:dyDescent="0.25">
      <c r="F491" s="3"/>
      <c r="H491" s="1"/>
    </row>
    <row r="492" spans="6:8" x14ac:dyDescent="0.25">
      <c r="F492" s="3"/>
      <c r="H492" s="1"/>
    </row>
    <row r="493" spans="6:8" x14ac:dyDescent="0.25">
      <c r="F493" s="3"/>
      <c r="H493" s="1"/>
    </row>
    <row r="494" spans="6:8" x14ac:dyDescent="0.25">
      <c r="F494" s="3"/>
      <c r="H494" s="1"/>
    </row>
    <row r="495" spans="6:8" x14ac:dyDescent="0.25">
      <c r="F495" s="3"/>
      <c r="H495" s="1"/>
    </row>
    <row r="496" spans="6:8" x14ac:dyDescent="0.25">
      <c r="F496" s="3"/>
      <c r="H496" s="1"/>
    </row>
    <row r="497" spans="6:8" x14ac:dyDescent="0.25">
      <c r="F497" s="3"/>
      <c r="H497" s="1"/>
    </row>
    <row r="498" spans="6:8" x14ac:dyDescent="0.25">
      <c r="F498" s="3"/>
      <c r="H498" s="1"/>
    </row>
    <row r="499" spans="6:8" x14ac:dyDescent="0.25">
      <c r="F499" s="3"/>
      <c r="H499" s="1"/>
    </row>
    <row r="500" spans="6:8" x14ac:dyDescent="0.25">
      <c r="F500" s="3"/>
      <c r="H500" s="1"/>
    </row>
    <row r="501" spans="6:8" x14ac:dyDescent="0.25">
      <c r="F501" s="3"/>
      <c r="H501" s="1"/>
    </row>
    <row r="502" spans="6:8" x14ac:dyDescent="0.25">
      <c r="F502" s="3"/>
      <c r="H502" s="1"/>
    </row>
    <row r="503" spans="6:8" x14ac:dyDescent="0.25">
      <c r="F503" s="3"/>
      <c r="H503" s="1"/>
    </row>
    <row r="504" spans="6:8" x14ac:dyDescent="0.25">
      <c r="F504" s="3"/>
      <c r="H504" s="1"/>
    </row>
    <row r="505" spans="6:8" x14ac:dyDescent="0.25">
      <c r="F505" s="3"/>
      <c r="H505" s="1"/>
    </row>
    <row r="506" spans="6:8" x14ac:dyDescent="0.25">
      <c r="F506" s="3"/>
      <c r="H506" s="1"/>
    </row>
    <row r="507" spans="6:8" x14ac:dyDescent="0.25">
      <c r="F507" s="3"/>
      <c r="H507" s="1"/>
    </row>
    <row r="508" spans="6:8" x14ac:dyDescent="0.25">
      <c r="F508" s="3"/>
      <c r="H508" s="1"/>
    </row>
    <row r="509" spans="6:8" x14ac:dyDescent="0.25">
      <c r="F509" s="3"/>
      <c r="H509" s="1"/>
    </row>
    <row r="510" spans="6:8" x14ac:dyDescent="0.25">
      <c r="F510" s="3"/>
      <c r="H510" s="1"/>
    </row>
    <row r="511" spans="6:8" x14ac:dyDescent="0.25">
      <c r="F511" s="3"/>
      <c r="H511" s="1"/>
    </row>
    <row r="512" spans="6:8" x14ac:dyDescent="0.25">
      <c r="F512" s="3"/>
      <c r="H512" s="1"/>
    </row>
    <row r="513" spans="6:8" x14ac:dyDescent="0.25">
      <c r="F513" s="3"/>
      <c r="H513" s="1"/>
    </row>
    <row r="514" spans="6:8" x14ac:dyDescent="0.25">
      <c r="F514" s="3"/>
      <c r="H514" s="1"/>
    </row>
    <row r="515" spans="6:8" x14ac:dyDescent="0.25">
      <c r="F515" s="3"/>
      <c r="H515" s="1"/>
    </row>
    <row r="516" spans="6:8" x14ac:dyDescent="0.25">
      <c r="F516" s="3"/>
      <c r="H516" s="1"/>
    </row>
    <row r="517" spans="6:8" x14ac:dyDescent="0.25">
      <c r="F517" s="3"/>
      <c r="H517" s="1"/>
    </row>
    <row r="518" spans="6:8" x14ac:dyDescent="0.25">
      <c r="F518" s="3"/>
      <c r="H518" s="1"/>
    </row>
    <row r="519" spans="6:8" x14ac:dyDescent="0.25">
      <c r="F519" s="3"/>
      <c r="H519" s="1"/>
    </row>
    <row r="520" spans="6:8" x14ac:dyDescent="0.25">
      <c r="F520" s="3"/>
      <c r="H520" s="1"/>
    </row>
    <row r="521" spans="6:8" x14ac:dyDescent="0.25">
      <c r="F521" s="3"/>
      <c r="H521" s="1"/>
    </row>
    <row r="522" spans="6:8" x14ac:dyDescent="0.25">
      <c r="F522" s="3"/>
      <c r="H522" s="1"/>
    </row>
    <row r="523" spans="6:8" x14ac:dyDescent="0.25">
      <c r="F523" s="3"/>
      <c r="H523" s="1"/>
    </row>
    <row r="524" spans="6:8" x14ac:dyDescent="0.25">
      <c r="F524" s="3"/>
      <c r="H524" s="1"/>
    </row>
    <row r="525" spans="6:8" x14ac:dyDescent="0.25">
      <c r="F525" s="3"/>
      <c r="H525" s="1"/>
    </row>
    <row r="526" spans="6:8" x14ac:dyDescent="0.25">
      <c r="F526" s="3"/>
      <c r="H526" s="1"/>
    </row>
    <row r="527" spans="6:8" x14ac:dyDescent="0.25">
      <c r="F527" s="3"/>
      <c r="H527" s="1"/>
    </row>
    <row r="528" spans="6:8" x14ac:dyDescent="0.25">
      <c r="F528" s="3"/>
      <c r="H528" s="1"/>
    </row>
    <row r="529" spans="6:8" x14ac:dyDescent="0.25">
      <c r="F529" s="3"/>
      <c r="H529" s="1"/>
    </row>
    <row r="530" spans="6:8" x14ac:dyDescent="0.25">
      <c r="F530" s="3"/>
      <c r="H530" s="1"/>
    </row>
    <row r="531" spans="6:8" x14ac:dyDescent="0.25">
      <c r="F531" s="3"/>
      <c r="H531" s="1"/>
    </row>
    <row r="532" spans="6:8" x14ac:dyDescent="0.25">
      <c r="F532" s="3"/>
      <c r="H532" s="1"/>
    </row>
    <row r="533" spans="6:8" x14ac:dyDescent="0.25">
      <c r="F533" s="3"/>
      <c r="H533" s="1"/>
    </row>
    <row r="534" spans="6:8" x14ac:dyDescent="0.25">
      <c r="F534" s="3"/>
      <c r="H534" s="1"/>
    </row>
    <row r="535" spans="6:8" x14ac:dyDescent="0.25">
      <c r="F535" s="3"/>
      <c r="H535" s="1"/>
    </row>
    <row r="536" spans="6:8" x14ac:dyDescent="0.25">
      <c r="F536" s="3"/>
      <c r="H536" s="1"/>
    </row>
    <row r="537" spans="6:8" x14ac:dyDescent="0.25">
      <c r="F537" s="3"/>
      <c r="H537" s="1"/>
    </row>
    <row r="538" spans="6:8" x14ac:dyDescent="0.25">
      <c r="F538" s="3"/>
      <c r="H538" s="1"/>
    </row>
    <row r="539" spans="6:8" x14ac:dyDescent="0.25">
      <c r="F539" s="3"/>
      <c r="H539" s="1"/>
    </row>
    <row r="540" spans="6:8" x14ac:dyDescent="0.25">
      <c r="F540" s="3"/>
      <c r="H540" s="1"/>
    </row>
    <row r="541" spans="6:8" x14ac:dyDescent="0.25">
      <c r="F541" s="3"/>
      <c r="H541" s="1"/>
    </row>
    <row r="542" spans="6:8" x14ac:dyDescent="0.25">
      <c r="F542" s="3"/>
      <c r="H542" s="1"/>
    </row>
    <row r="543" spans="6:8" x14ac:dyDescent="0.25">
      <c r="F543" s="3"/>
      <c r="H543" s="1"/>
    </row>
    <row r="544" spans="6:8" x14ac:dyDescent="0.25">
      <c r="F544" s="3"/>
      <c r="H544" s="1"/>
    </row>
    <row r="545" spans="6:8" x14ac:dyDescent="0.25">
      <c r="F545" s="3"/>
      <c r="H545" s="1"/>
    </row>
    <row r="546" spans="6:8" x14ac:dyDescent="0.25">
      <c r="F546" s="3"/>
      <c r="H546" s="1"/>
    </row>
    <row r="547" spans="6:8" x14ac:dyDescent="0.25">
      <c r="F547" s="3"/>
      <c r="H547" s="1"/>
    </row>
    <row r="548" spans="6:8" x14ac:dyDescent="0.25">
      <c r="F548" s="3"/>
      <c r="H548" s="1"/>
    </row>
    <row r="549" spans="6:8" x14ac:dyDescent="0.25">
      <c r="F549" s="3"/>
      <c r="H549" s="1"/>
    </row>
    <row r="550" spans="6:8" x14ac:dyDescent="0.25">
      <c r="F550" s="3"/>
      <c r="H550" s="1"/>
    </row>
    <row r="551" spans="6:8" x14ac:dyDescent="0.25">
      <c r="F551" s="3"/>
      <c r="H551" s="1"/>
    </row>
    <row r="552" spans="6:8" x14ac:dyDescent="0.25">
      <c r="F552" s="3"/>
      <c r="H552" s="1"/>
    </row>
    <row r="553" spans="6:8" x14ac:dyDescent="0.25">
      <c r="F553" s="3"/>
      <c r="H553" s="1"/>
    </row>
    <row r="554" spans="6:8" x14ac:dyDescent="0.25">
      <c r="F554" s="3"/>
      <c r="H554" s="1"/>
    </row>
    <row r="555" spans="6:8" x14ac:dyDescent="0.25">
      <c r="F555" s="3"/>
      <c r="H555" s="1"/>
    </row>
    <row r="556" spans="6:8" x14ac:dyDescent="0.25">
      <c r="F556" s="3"/>
      <c r="H556" s="1"/>
    </row>
    <row r="557" spans="6:8" x14ac:dyDescent="0.25">
      <c r="F557" s="3"/>
      <c r="H557" s="1"/>
    </row>
    <row r="558" spans="6:8" x14ac:dyDescent="0.25">
      <c r="F558" s="3"/>
      <c r="H558" s="1"/>
    </row>
    <row r="559" spans="6:8" x14ac:dyDescent="0.25">
      <c r="F559" s="3"/>
      <c r="H559" s="1"/>
    </row>
    <row r="560" spans="6:8" x14ac:dyDescent="0.25">
      <c r="F560" s="3"/>
      <c r="H560" s="1"/>
    </row>
    <row r="561" spans="6:8" x14ac:dyDescent="0.25">
      <c r="F561" s="3"/>
      <c r="H561" s="1"/>
    </row>
    <row r="562" spans="6:8" x14ac:dyDescent="0.25">
      <c r="F562" s="3"/>
      <c r="H562" s="1"/>
    </row>
    <row r="563" spans="6:8" x14ac:dyDescent="0.25">
      <c r="F563" s="3"/>
      <c r="H563" s="1"/>
    </row>
    <row r="564" spans="6:8" x14ac:dyDescent="0.25">
      <c r="F564" s="3"/>
      <c r="H564" s="1"/>
    </row>
    <row r="565" spans="6:8" x14ac:dyDescent="0.25">
      <c r="F565" s="3"/>
      <c r="H565" s="1"/>
    </row>
    <row r="566" spans="6:8" x14ac:dyDescent="0.25">
      <c r="F566" s="3"/>
      <c r="H566" s="1"/>
    </row>
    <row r="567" spans="6:8" x14ac:dyDescent="0.25">
      <c r="F567" s="3"/>
      <c r="H567" s="1"/>
    </row>
    <row r="568" spans="6:8" x14ac:dyDescent="0.25">
      <c r="F568" s="3"/>
      <c r="H568" s="1"/>
    </row>
    <row r="569" spans="6:8" x14ac:dyDescent="0.25">
      <c r="F569" s="3"/>
      <c r="H569" s="1"/>
    </row>
    <row r="570" spans="6:8" x14ac:dyDescent="0.25">
      <c r="F570" s="3"/>
      <c r="H570" s="1"/>
    </row>
    <row r="571" spans="6:8" x14ac:dyDescent="0.25">
      <c r="F571" s="3"/>
      <c r="H571" s="1"/>
    </row>
    <row r="572" spans="6:8" x14ac:dyDescent="0.25">
      <c r="F572" s="3"/>
      <c r="H572" s="1"/>
    </row>
    <row r="573" spans="6:8" x14ac:dyDescent="0.25">
      <c r="F573" s="3"/>
      <c r="H573" s="1"/>
    </row>
    <row r="574" spans="6:8" x14ac:dyDescent="0.25">
      <c r="F574" s="3"/>
      <c r="H574" s="1"/>
    </row>
    <row r="575" spans="6:8" x14ac:dyDescent="0.25">
      <c r="F575" s="3"/>
      <c r="H575" s="1"/>
    </row>
    <row r="576" spans="6:8" x14ac:dyDescent="0.25">
      <c r="F576" s="3"/>
      <c r="H576" s="1"/>
    </row>
    <row r="577" spans="6:8" x14ac:dyDescent="0.25">
      <c r="F577" s="3"/>
      <c r="H577" s="1"/>
    </row>
    <row r="578" spans="6:8" x14ac:dyDescent="0.25">
      <c r="F578" s="3"/>
      <c r="H578" s="1"/>
    </row>
    <row r="579" spans="6:8" x14ac:dyDescent="0.25">
      <c r="F579" s="3"/>
      <c r="H579" s="1"/>
    </row>
    <row r="580" spans="6:8" x14ac:dyDescent="0.25">
      <c r="F580" s="3"/>
      <c r="H580" s="1"/>
    </row>
    <row r="581" spans="6:8" x14ac:dyDescent="0.25">
      <c r="F581" s="3"/>
      <c r="H581" s="1"/>
    </row>
    <row r="582" spans="6:8" x14ac:dyDescent="0.25">
      <c r="F582" s="3"/>
      <c r="H582" s="1"/>
    </row>
    <row r="583" spans="6:8" x14ac:dyDescent="0.25">
      <c r="F583" s="3"/>
      <c r="H583" s="1"/>
    </row>
    <row r="584" spans="6:8" x14ac:dyDescent="0.25">
      <c r="F584" s="3"/>
      <c r="H584" s="1"/>
    </row>
    <row r="585" spans="6:8" x14ac:dyDescent="0.25">
      <c r="F585" s="3"/>
      <c r="H585" s="1"/>
    </row>
    <row r="586" spans="6:8" x14ac:dyDescent="0.25">
      <c r="F586" s="3"/>
      <c r="H586" s="1"/>
    </row>
    <row r="587" spans="6:8" x14ac:dyDescent="0.25">
      <c r="F587" s="3"/>
      <c r="H587" s="1"/>
    </row>
    <row r="588" spans="6:8" x14ac:dyDescent="0.25">
      <c r="F588" s="3"/>
      <c r="H588" s="1"/>
    </row>
    <row r="589" spans="6:8" x14ac:dyDescent="0.25">
      <c r="F589" s="3"/>
      <c r="H589" s="1"/>
    </row>
    <row r="590" spans="6:8" x14ac:dyDescent="0.25">
      <c r="F590" s="3"/>
      <c r="H590" s="1"/>
    </row>
    <row r="591" spans="6:8" x14ac:dyDescent="0.25">
      <c r="F591" s="3"/>
      <c r="H591" s="1"/>
    </row>
    <row r="592" spans="6:8" x14ac:dyDescent="0.25">
      <c r="F592" s="3"/>
      <c r="H592" s="1"/>
    </row>
    <row r="593" spans="6:8" x14ac:dyDescent="0.25">
      <c r="F593" s="3"/>
      <c r="H593" s="1"/>
    </row>
    <row r="594" spans="6:8" x14ac:dyDescent="0.25">
      <c r="F594" s="3"/>
      <c r="H594" s="1"/>
    </row>
    <row r="595" spans="6:8" x14ac:dyDescent="0.25">
      <c r="F595" s="3"/>
      <c r="H595" s="1"/>
    </row>
    <row r="596" spans="6:8" x14ac:dyDescent="0.25">
      <c r="F596" s="3"/>
      <c r="H596" s="1"/>
    </row>
    <row r="597" spans="6:8" x14ac:dyDescent="0.25">
      <c r="F597" s="3"/>
      <c r="H597" s="1"/>
    </row>
    <row r="598" spans="6:8" x14ac:dyDescent="0.25">
      <c r="F598" s="3"/>
      <c r="H598" s="1"/>
    </row>
    <row r="599" spans="6:8" x14ac:dyDescent="0.25">
      <c r="F599" s="3"/>
      <c r="H599" s="1"/>
    </row>
    <row r="600" spans="6:8" x14ac:dyDescent="0.25">
      <c r="F600" s="3"/>
      <c r="H600" s="1"/>
    </row>
    <row r="601" spans="6:8" x14ac:dyDescent="0.25">
      <c r="F601" s="3"/>
      <c r="H601" s="1"/>
    </row>
    <row r="602" spans="6:8" x14ac:dyDescent="0.25">
      <c r="F602" s="3"/>
      <c r="H602" s="1"/>
    </row>
    <row r="603" spans="6:8" x14ac:dyDescent="0.25">
      <c r="F603" s="3"/>
      <c r="H603" s="1"/>
    </row>
    <row r="604" spans="6:8" x14ac:dyDescent="0.25">
      <c r="F604" s="3"/>
      <c r="H604" s="1"/>
    </row>
    <row r="605" spans="6:8" x14ac:dyDescent="0.25">
      <c r="F605" s="3"/>
      <c r="H605" s="1"/>
    </row>
    <row r="606" spans="6:8" x14ac:dyDescent="0.25">
      <c r="F606" s="3"/>
      <c r="H606" s="1"/>
    </row>
    <row r="607" spans="6:8" x14ac:dyDescent="0.25">
      <c r="F607" s="3"/>
      <c r="H607" s="1"/>
    </row>
    <row r="608" spans="6:8" x14ac:dyDescent="0.25">
      <c r="F608" s="3"/>
      <c r="H608" s="1"/>
    </row>
    <row r="609" spans="6:8" x14ac:dyDescent="0.25">
      <c r="F609" s="3"/>
      <c r="H609" s="1"/>
    </row>
    <row r="610" spans="6:8" x14ac:dyDescent="0.25">
      <c r="F610" s="3"/>
      <c r="H610" s="1"/>
    </row>
    <row r="611" spans="6:8" x14ac:dyDescent="0.25">
      <c r="F611" s="3"/>
      <c r="H611" s="1"/>
    </row>
    <row r="612" spans="6:8" x14ac:dyDescent="0.25">
      <c r="F612" s="3"/>
      <c r="H612" s="1"/>
    </row>
    <row r="613" spans="6:8" x14ac:dyDescent="0.25">
      <c r="F613" s="3"/>
      <c r="H613" s="1"/>
    </row>
    <row r="614" spans="6:8" x14ac:dyDescent="0.25">
      <c r="F614" s="3"/>
      <c r="H614" s="1"/>
    </row>
    <row r="615" spans="6:8" x14ac:dyDescent="0.25">
      <c r="F615" s="3"/>
      <c r="H615" s="1"/>
    </row>
    <row r="616" spans="6:8" x14ac:dyDescent="0.25">
      <c r="F616" s="3"/>
      <c r="H616" s="1"/>
    </row>
    <row r="617" spans="6:8" x14ac:dyDescent="0.25">
      <c r="F617" s="3"/>
      <c r="H617" s="1"/>
    </row>
    <row r="618" spans="6:8" x14ac:dyDescent="0.25">
      <c r="F618" s="3"/>
      <c r="H618" s="1"/>
    </row>
    <row r="619" spans="6:8" x14ac:dyDescent="0.25">
      <c r="F619" s="3"/>
      <c r="H619" s="1"/>
    </row>
    <row r="620" spans="6:8" x14ac:dyDescent="0.25">
      <c r="F620" s="3"/>
      <c r="H620" s="1"/>
    </row>
    <row r="621" spans="6:8" x14ac:dyDescent="0.25">
      <c r="F621" s="3"/>
      <c r="H621" s="1"/>
    </row>
    <row r="622" spans="6:8" x14ac:dyDescent="0.25">
      <c r="F622" s="3"/>
      <c r="H622" s="1"/>
    </row>
    <row r="623" spans="6:8" x14ac:dyDescent="0.25">
      <c r="F623" s="3"/>
      <c r="H623" s="1"/>
    </row>
    <row r="624" spans="6:8" x14ac:dyDescent="0.25">
      <c r="F624" s="3"/>
      <c r="H624" s="1"/>
    </row>
    <row r="625" spans="6:8" x14ac:dyDescent="0.25">
      <c r="F625" s="3"/>
      <c r="H625" s="1"/>
    </row>
    <row r="626" spans="6:8" x14ac:dyDescent="0.25">
      <c r="F626" s="3"/>
      <c r="H626" s="1"/>
    </row>
    <row r="627" spans="6:8" x14ac:dyDescent="0.25">
      <c r="F627" s="3"/>
      <c r="H627" s="1"/>
    </row>
    <row r="628" spans="6:8" x14ac:dyDescent="0.25">
      <c r="F628" s="3"/>
      <c r="H628" s="1"/>
    </row>
    <row r="629" spans="6:8" x14ac:dyDescent="0.25">
      <c r="F629" s="3"/>
      <c r="H629" s="1"/>
    </row>
    <row r="630" spans="6:8" x14ac:dyDescent="0.25">
      <c r="F630" s="3"/>
      <c r="H630" s="1"/>
    </row>
    <row r="631" spans="6:8" x14ac:dyDescent="0.25">
      <c r="F631" s="3"/>
      <c r="H631" s="1"/>
    </row>
    <row r="632" spans="6:8" x14ac:dyDescent="0.25">
      <c r="F632" s="3"/>
      <c r="H632" s="1"/>
    </row>
    <row r="633" spans="6:8" x14ac:dyDescent="0.25">
      <c r="F633" s="3"/>
      <c r="H633" s="1"/>
    </row>
    <row r="634" spans="6:8" x14ac:dyDescent="0.25">
      <c r="F634" s="3"/>
      <c r="H634" s="1"/>
    </row>
    <row r="635" spans="6:8" x14ac:dyDescent="0.25">
      <c r="F635" s="3"/>
      <c r="H635" s="1"/>
    </row>
    <row r="636" spans="6:8" x14ac:dyDescent="0.25">
      <c r="F636" s="3"/>
      <c r="H636" s="1"/>
    </row>
    <row r="637" spans="6:8" x14ac:dyDescent="0.25">
      <c r="F637" s="3"/>
      <c r="H637" s="1"/>
    </row>
    <row r="638" spans="6:8" x14ac:dyDescent="0.25">
      <c r="F638" s="3"/>
      <c r="H638" s="1"/>
    </row>
    <row r="639" spans="6:8" x14ac:dyDescent="0.25">
      <c r="F639" s="3"/>
      <c r="H639" s="1"/>
    </row>
    <row r="640" spans="6:8" x14ac:dyDescent="0.25">
      <c r="F640" s="3"/>
      <c r="H640" s="1"/>
    </row>
    <row r="641" spans="6:8" x14ac:dyDescent="0.25">
      <c r="F641" s="3"/>
      <c r="H641" s="1"/>
    </row>
    <row r="642" spans="6:8" x14ac:dyDescent="0.25">
      <c r="F642" s="3"/>
      <c r="H642" s="1"/>
    </row>
    <row r="643" spans="6:8" x14ac:dyDescent="0.25">
      <c r="F643" s="3"/>
      <c r="H643" s="1"/>
    </row>
    <row r="644" spans="6:8" x14ac:dyDescent="0.25">
      <c r="F644" s="3"/>
      <c r="H644" s="1"/>
    </row>
    <row r="645" spans="6:8" x14ac:dyDescent="0.25">
      <c r="F645" s="3"/>
      <c r="H645" s="1"/>
    </row>
    <row r="646" spans="6:8" x14ac:dyDescent="0.25">
      <c r="F646" s="3"/>
      <c r="H646" s="1"/>
    </row>
    <row r="647" spans="6:8" x14ac:dyDescent="0.25">
      <c r="F647" s="3"/>
      <c r="H647" s="1"/>
    </row>
    <row r="648" spans="6:8" x14ac:dyDescent="0.25">
      <c r="F648" s="3"/>
      <c r="H648" s="1"/>
    </row>
    <row r="649" spans="6:8" x14ac:dyDescent="0.25">
      <c r="F649" s="3"/>
      <c r="H649" s="1"/>
    </row>
    <row r="650" spans="6:8" x14ac:dyDescent="0.25">
      <c r="F650" s="3"/>
      <c r="H650" s="1"/>
    </row>
    <row r="651" spans="6:8" x14ac:dyDescent="0.25">
      <c r="F651" s="3"/>
      <c r="H651" s="1"/>
    </row>
    <row r="652" spans="6:8" x14ac:dyDescent="0.25">
      <c r="F652" s="3"/>
      <c r="H652" s="1"/>
    </row>
    <row r="653" spans="6:8" x14ac:dyDescent="0.25">
      <c r="F653" s="3"/>
      <c r="H653" s="1"/>
    </row>
    <row r="654" spans="6:8" x14ac:dyDescent="0.25">
      <c r="F654" s="3"/>
      <c r="H654" s="1"/>
    </row>
    <row r="655" spans="6:8" x14ac:dyDescent="0.25">
      <c r="F655" s="3"/>
      <c r="H655" s="1"/>
    </row>
    <row r="656" spans="6:8" x14ac:dyDescent="0.25">
      <c r="F656" s="3"/>
      <c r="H656" s="1"/>
    </row>
    <row r="657" spans="6:8" x14ac:dyDescent="0.25">
      <c r="F657" s="3"/>
      <c r="H657" s="1"/>
    </row>
    <row r="658" spans="6:8" x14ac:dyDescent="0.25">
      <c r="F658" s="3"/>
      <c r="H658" s="1"/>
    </row>
    <row r="659" spans="6:8" x14ac:dyDescent="0.25">
      <c r="F659" s="3"/>
      <c r="H659" s="1"/>
    </row>
    <row r="660" spans="6:8" x14ac:dyDescent="0.25">
      <c r="F660" s="3"/>
      <c r="H660" s="1"/>
    </row>
    <row r="661" spans="6:8" x14ac:dyDescent="0.25">
      <c r="F661" s="3"/>
      <c r="H661" s="1"/>
    </row>
    <row r="662" spans="6:8" x14ac:dyDescent="0.25">
      <c r="F662" s="3"/>
      <c r="H662" s="1"/>
    </row>
    <row r="663" spans="6:8" x14ac:dyDescent="0.25">
      <c r="F663" s="3"/>
      <c r="H663" s="1"/>
    </row>
    <row r="664" spans="6:8" x14ac:dyDescent="0.25">
      <c r="F664" s="3"/>
      <c r="H664" s="1"/>
    </row>
    <row r="665" spans="6:8" x14ac:dyDescent="0.25">
      <c r="F665" s="3"/>
      <c r="H665" s="1"/>
    </row>
    <row r="666" spans="6:8" x14ac:dyDescent="0.25">
      <c r="F666" s="3"/>
      <c r="H666" s="1"/>
    </row>
    <row r="667" spans="6:8" x14ac:dyDescent="0.25">
      <c r="F667" s="3"/>
      <c r="H667" s="1"/>
    </row>
    <row r="668" spans="6:8" x14ac:dyDescent="0.25">
      <c r="F668" s="3"/>
      <c r="H668" s="1"/>
    </row>
    <row r="669" spans="6:8" x14ac:dyDescent="0.25">
      <c r="F669" s="3"/>
      <c r="H669" s="1"/>
    </row>
    <row r="670" spans="6:8" x14ac:dyDescent="0.25">
      <c r="F670" s="3"/>
      <c r="H670" s="1"/>
    </row>
    <row r="671" spans="6:8" x14ac:dyDescent="0.25">
      <c r="F671" s="3"/>
      <c r="H671" s="1"/>
    </row>
    <row r="672" spans="6:8" x14ac:dyDescent="0.25">
      <c r="F672" s="3"/>
      <c r="H672" s="1"/>
    </row>
    <row r="673" spans="6:8" x14ac:dyDescent="0.25">
      <c r="F673" s="3"/>
      <c r="H673" s="1"/>
    </row>
    <row r="674" spans="6:8" x14ac:dyDescent="0.25">
      <c r="F674" s="3"/>
      <c r="H674" s="1"/>
    </row>
    <row r="675" spans="6:8" x14ac:dyDescent="0.25">
      <c r="F675" s="3"/>
      <c r="H675" s="1"/>
    </row>
    <row r="676" spans="6:8" x14ac:dyDescent="0.25">
      <c r="F676" s="3"/>
      <c r="H676" s="1"/>
    </row>
    <row r="677" spans="6:8" x14ac:dyDescent="0.25">
      <c r="F677" s="3"/>
      <c r="H677" s="1"/>
    </row>
    <row r="678" spans="6:8" x14ac:dyDescent="0.25">
      <c r="F678" s="3"/>
      <c r="H678" s="1"/>
    </row>
    <row r="679" spans="6:8" x14ac:dyDescent="0.25">
      <c r="F679" s="3"/>
      <c r="H679" s="1"/>
    </row>
    <row r="680" spans="6:8" x14ac:dyDescent="0.25">
      <c r="F680" s="3"/>
      <c r="H680" s="1"/>
    </row>
    <row r="681" spans="6:8" x14ac:dyDescent="0.25">
      <c r="F681" s="3"/>
      <c r="H681" s="1"/>
    </row>
    <row r="682" spans="6:8" x14ac:dyDescent="0.25">
      <c r="F682" s="3"/>
      <c r="H682" s="1"/>
    </row>
    <row r="683" spans="6:8" x14ac:dyDescent="0.25">
      <c r="F683" s="3"/>
      <c r="H683" s="1"/>
    </row>
    <row r="684" spans="6:8" x14ac:dyDescent="0.25">
      <c r="F684" s="3"/>
      <c r="H684" s="1"/>
    </row>
    <row r="685" spans="6:8" x14ac:dyDescent="0.25">
      <c r="F685" s="3"/>
      <c r="H685" s="1"/>
    </row>
    <row r="686" spans="6:8" x14ac:dyDescent="0.25">
      <c r="F686" s="3"/>
      <c r="H686" s="1"/>
    </row>
    <row r="687" spans="6:8" x14ac:dyDescent="0.25">
      <c r="F687" s="3"/>
      <c r="H687" s="1"/>
    </row>
    <row r="688" spans="6:8" x14ac:dyDescent="0.25">
      <c r="F688" s="3"/>
      <c r="H688" s="1"/>
    </row>
    <row r="689" spans="6:8" x14ac:dyDescent="0.25">
      <c r="F689" s="3"/>
      <c r="H689" s="1"/>
    </row>
    <row r="690" spans="6:8" x14ac:dyDescent="0.25">
      <c r="F690" s="3"/>
      <c r="H690" s="1"/>
    </row>
    <row r="691" spans="6:8" x14ac:dyDescent="0.25">
      <c r="F691" s="3"/>
      <c r="H691" s="1"/>
    </row>
    <row r="692" spans="6:8" x14ac:dyDescent="0.25">
      <c r="F692" s="3"/>
      <c r="H692" s="1"/>
    </row>
    <row r="693" spans="6:8" x14ac:dyDescent="0.25">
      <c r="F693" s="3"/>
      <c r="H693" s="1"/>
    </row>
    <row r="694" spans="6:8" x14ac:dyDescent="0.25">
      <c r="F694" s="3"/>
      <c r="H694" s="1"/>
    </row>
    <row r="695" spans="6:8" x14ac:dyDescent="0.25">
      <c r="F695" s="3"/>
      <c r="H695" s="1"/>
    </row>
    <row r="696" spans="6:8" x14ac:dyDescent="0.25">
      <c r="F696" s="3"/>
      <c r="H696" s="1"/>
    </row>
    <row r="697" spans="6:8" x14ac:dyDescent="0.25">
      <c r="F697" s="3"/>
      <c r="H697" s="1"/>
    </row>
    <row r="698" spans="6:8" x14ac:dyDescent="0.25">
      <c r="F698" s="3"/>
      <c r="H698" s="1"/>
    </row>
    <row r="699" spans="6:8" x14ac:dyDescent="0.25">
      <c r="F699" s="3"/>
      <c r="H699" s="1"/>
    </row>
    <row r="700" spans="6:8" x14ac:dyDescent="0.25">
      <c r="F700" s="3"/>
      <c r="H700" s="1"/>
    </row>
    <row r="701" spans="6:8" x14ac:dyDescent="0.25">
      <c r="F701" s="3"/>
      <c r="H701" s="1"/>
    </row>
    <row r="702" spans="6:8" x14ac:dyDescent="0.25">
      <c r="F702" s="3"/>
      <c r="H702" s="1"/>
    </row>
    <row r="703" spans="6:8" x14ac:dyDescent="0.25">
      <c r="F703" s="3"/>
      <c r="H703" s="1"/>
    </row>
    <row r="704" spans="6:8" x14ac:dyDescent="0.25">
      <c r="F704" s="3"/>
      <c r="H704" s="1"/>
    </row>
    <row r="705" spans="6:8" x14ac:dyDescent="0.25">
      <c r="F705" s="3"/>
      <c r="H705" s="1"/>
    </row>
    <row r="706" spans="6:8" x14ac:dyDescent="0.25">
      <c r="F706" s="3"/>
      <c r="H706" s="1"/>
    </row>
    <row r="707" spans="6:8" x14ac:dyDescent="0.25">
      <c r="F707" s="3"/>
      <c r="H707" s="1"/>
    </row>
    <row r="708" spans="6:8" x14ac:dyDescent="0.25">
      <c r="F708" s="3"/>
      <c r="H708" s="1"/>
    </row>
    <row r="709" spans="6:8" x14ac:dyDescent="0.25">
      <c r="F709" s="3"/>
      <c r="H709" s="1"/>
    </row>
    <row r="710" spans="6:8" x14ac:dyDescent="0.25">
      <c r="F710" s="3"/>
      <c r="H710" s="1"/>
    </row>
    <row r="711" spans="6:8" x14ac:dyDescent="0.25">
      <c r="F711" s="3"/>
      <c r="H711" s="1"/>
    </row>
    <row r="712" spans="6:8" x14ac:dyDescent="0.25">
      <c r="F712" s="3"/>
      <c r="H712" s="1"/>
    </row>
    <row r="713" spans="6:8" x14ac:dyDescent="0.25">
      <c r="F713" s="3"/>
      <c r="H713" s="1"/>
    </row>
    <row r="714" spans="6:8" x14ac:dyDescent="0.25">
      <c r="F714" s="3"/>
      <c r="H714" s="1"/>
    </row>
    <row r="715" spans="6:8" x14ac:dyDescent="0.25">
      <c r="F715" s="3"/>
      <c r="H715" s="1"/>
    </row>
    <row r="716" spans="6:8" x14ac:dyDescent="0.25">
      <c r="F716" s="3"/>
      <c r="H716" s="1"/>
    </row>
    <row r="717" spans="6:8" x14ac:dyDescent="0.25">
      <c r="F717" s="3"/>
      <c r="H717" s="1"/>
    </row>
    <row r="718" spans="6:8" x14ac:dyDescent="0.25">
      <c r="F718" s="3"/>
      <c r="H718" s="1"/>
    </row>
    <row r="719" spans="6:8" x14ac:dyDescent="0.25">
      <c r="F719" s="3"/>
      <c r="H719" s="1"/>
    </row>
    <row r="720" spans="6:8" x14ac:dyDescent="0.25">
      <c r="F720" s="3"/>
      <c r="H720" s="1"/>
    </row>
    <row r="721" spans="6:8" x14ac:dyDescent="0.25">
      <c r="F721" s="3"/>
      <c r="H721" s="1"/>
    </row>
    <row r="722" spans="6:8" x14ac:dyDescent="0.25">
      <c r="F722" s="3"/>
      <c r="H722" s="1"/>
    </row>
    <row r="723" spans="6:8" x14ac:dyDescent="0.25">
      <c r="F723" s="3"/>
      <c r="H723" s="1"/>
    </row>
    <row r="724" spans="6:8" x14ac:dyDescent="0.25">
      <c r="F724" s="3"/>
      <c r="H724" s="1"/>
    </row>
    <row r="725" spans="6:8" x14ac:dyDescent="0.25">
      <c r="F725" s="3"/>
      <c r="H725" s="1"/>
    </row>
    <row r="726" spans="6:8" x14ac:dyDescent="0.25">
      <c r="F726" s="3"/>
      <c r="H726" s="1"/>
    </row>
    <row r="727" spans="6:8" x14ac:dyDescent="0.25">
      <c r="F727" s="3"/>
      <c r="H727" s="1"/>
    </row>
    <row r="728" spans="6:8" x14ac:dyDescent="0.25">
      <c r="F728" s="3"/>
      <c r="H728" s="1"/>
    </row>
    <row r="729" spans="6:8" x14ac:dyDescent="0.25">
      <c r="F729" s="3"/>
      <c r="H729" s="1"/>
    </row>
    <row r="730" spans="6:8" x14ac:dyDescent="0.25">
      <c r="F730" s="3"/>
      <c r="H730" s="1"/>
    </row>
    <row r="731" spans="6:8" x14ac:dyDescent="0.25">
      <c r="F731" s="3"/>
      <c r="H731" s="1"/>
    </row>
    <row r="732" spans="6:8" x14ac:dyDescent="0.25">
      <c r="F732" s="3"/>
      <c r="H732" s="1"/>
    </row>
    <row r="733" spans="6:8" x14ac:dyDescent="0.25">
      <c r="F733" s="3"/>
      <c r="H733" s="1"/>
    </row>
    <row r="734" spans="6:8" x14ac:dyDescent="0.25">
      <c r="F734" s="3"/>
      <c r="H734" s="1"/>
    </row>
    <row r="735" spans="6:8" x14ac:dyDescent="0.25">
      <c r="F735" s="3"/>
      <c r="H735" s="1"/>
    </row>
    <row r="736" spans="6:8" x14ac:dyDescent="0.25">
      <c r="F736" s="3"/>
      <c r="H736" s="1"/>
    </row>
    <row r="737" spans="6:8" x14ac:dyDescent="0.25">
      <c r="F737" s="3"/>
      <c r="H737" s="1"/>
    </row>
    <row r="738" spans="6:8" x14ac:dyDescent="0.25">
      <c r="F738" s="3"/>
      <c r="H738" s="1"/>
    </row>
    <row r="739" spans="6:8" x14ac:dyDescent="0.25">
      <c r="F739" s="3"/>
      <c r="H739" s="1"/>
    </row>
    <row r="740" spans="6:8" x14ac:dyDescent="0.25">
      <c r="F740" s="3"/>
      <c r="H740" s="1"/>
    </row>
    <row r="741" spans="6:8" x14ac:dyDescent="0.25">
      <c r="F741" s="3"/>
      <c r="H741" s="1"/>
    </row>
    <row r="742" spans="6:8" x14ac:dyDescent="0.25">
      <c r="F742" s="3"/>
      <c r="H742" s="1"/>
    </row>
    <row r="743" spans="6:8" x14ac:dyDescent="0.25">
      <c r="F743" s="3"/>
      <c r="H743" s="1"/>
    </row>
    <row r="744" spans="6:8" x14ac:dyDescent="0.25">
      <c r="F744" s="3"/>
      <c r="H744" s="1"/>
    </row>
    <row r="745" spans="6:8" x14ac:dyDescent="0.25">
      <c r="F745" s="3"/>
      <c r="H745" s="1"/>
    </row>
    <row r="746" spans="6:8" x14ac:dyDescent="0.25">
      <c r="F746" s="3"/>
      <c r="H746" s="1"/>
    </row>
    <row r="747" spans="6:8" x14ac:dyDescent="0.25">
      <c r="F747" s="3"/>
      <c r="H747" s="1"/>
    </row>
    <row r="748" spans="6:8" x14ac:dyDescent="0.25">
      <c r="F748" s="3"/>
      <c r="H748" s="1"/>
    </row>
    <row r="749" spans="6:8" x14ac:dyDescent="0.25">
      <c r="F749" s="3"/>
      <c r="H749" s="1"/>
    </row>
    <row r="750" spans="6:8" x14ac:dyDescent="0.25">
      <c r="F750" s="3"/>
      <c r="H750" s="1"/>
    </row>
    <row r="751" spans="6:8" x14ac:dyDescent="0.25">
      <c r="F751" s="3"/>
      <c r="H751" s="1"/>
    </row>
    <row r="752" spans="6:8" x14ac:dyDescent="0.25">
      <c r="F752" s="3"/>
      <c r="H752" s="1"/>
    </row>
    <row r="753" spans="6:8" x14ac:dyDescent="0.25">
      <c r="F753" s="3"/>
      <c r="H753" s="1"/>
    </row>
    <row r="754" spans="6:8" x14ac:dyDescent="0.25">
      <c r="F754" s="3"/>
      <c r="H754" s="1"/>
    </row>
    <row r="755" spans="6:8" x14ac:dyDescent="0.25">
      <c r="F755" s="3"/>
      <c r="H755" s="1"/>
    </row>
    <row r="756" spans="6:8" x14ac:dyDescent="0.25">
      <c r="F756" s="3"/>
      <c r="H756" s="1"/>
    </row>
    <row r="757" spans="6:8" x14ac:dyDescent="0.25">
      <c r="F757" s="3"/>
      <c r="H757" s="1"/>
    </row>
    <row r="758" spans="6:8" x14ac:dyDescent="0.25">
      <c r="F758" s="3"/>
      <c r="H758" s="1"/>
    </row>
    <row r="759" spans="6:8" x14ac:dyDescent="0.25">
      <c r="F759" s="3"/>
      <c r="H759" s="1"/>
    </row>
    <row r="760" spans="6:8" x14ac:dyDescent="0.25">
      <c r="F760" s="3"/>
      <c r="H760" s="1"/>
    </row>
    <row r="761" spans="6:8" x14ac:dyDescent="0.25">
      <c r="F761" s="3"/>
      <c r="H761" s="1"/>
    </row>
    <row r="762" spans="6:8" x14ac:dyDescent="0.25">
      <c r="F762" s="3"/>
      <c r="H762" s="1"/>
    </row>
    <row r="763" spans="6:8" x14ac:dyDescent="0.25">
      <c r="F763" s="3"/>
      <c r="H763" s="1"/>
    </row>
    <row r="764" spans="6:8" x14ac:dyDescent="0.25">
      <c r="F764" s="3"/>
      <c r="H764" s="1"/>
    </row>
    <row r="765" spans="6:8" x14ac:dyDescent="0.25">
      <c r="F765" s="3"/>
      <c r="H765" s="1"/>
    </row>
    <row r="766" spans="6:8" x14ac:dyDescent="0.25">
      <c r="F766" s="3"/>
      <c r="H766" s="1"/>
    </row>
    <row r="767" spans="6:8" x14ac:dyDescent="0.25">
      <c r="F767" s="3"/>
      <c r="H767" s="1"/>
    </row>
    <row r="768" spans="6:8" x14ac:dyDescent="0.25">
      <c r="F768" s="3"/>
      <c r="H768" s="1"/>
    </row>
    <row r="769" spans="6:8" x14ac:dyDescent="0.25">
      <c r="F769" s="3"/>
      <c r="H769" s="1"/>
    </row>
    <row r="770" spans="6:8" x14ac:dyDescent="0.25">
      <c r="F770" s="3"/>
      <c r="H770" s="1"/>
    </row>
    <row r="771" spans="6:8" x14ac:dyDescent="0.25">
      <c r="F771" s="3"/>
      <c r="H771" s="1"/>
    </row>
    <row r="772" spans="6:8" x14ac:dyDescent="0.25">
      <c r="F772" s="3"/>
      <c r="H772" s="1"/>
    </row>
    <row r="773" spans="6:8" x14ac:dyDescent="0.25">
      <c r="F773" s="3"/>
      <c r="H773" s="1"/>
    </row>
    <row r="774" spans="6:8" x14ac:dyDescent="0.25">
      <c r="F774" s="3"/>
      <c r="H774" s="1"/>
    </row>
    <row r="775" spans="6:8" x14ac:dyDescent="0.25">
      <c r="F775" s="3"/>
      <c r="H775" s="1"/>
    </row>
    <row r="776" spans="6:8" x14ac:dyDescent="0.25">
      <c r="F776" s="3"/>
      <c r="H776" s="1"/>
    </row>
    <row r="777" spans="6:8" x14ac:dyDescent="0.25">
      <c r="F777" s="3"/>
      <c r="H777" s="1"/>
    </row>
    <row r="778" spans="6:8" x14ac:dyDescent="0.25">
      <c r="F778" s="3"/>
      <c r="H778" s="1"/>
    </row>
    <row r="779" spans="6:8" x14ac:dyDescent="0.25">
      <c r="F779" s="3"/>
      <c r="H779" s="1"/>
    </row>
    <row r="780" spans="6:8" x14ac:dyDescent="0.25">
      <c r="F780" s="3"/>
      <c r="H780" s="1"/>
    </row>
    <row r="781" spans="6:8" x14ac:dyDescent="0.25">
      <c r="F781" s="3"/>
      <c r="H781" s="1"/>
    </row>
    <row r="782" spans="6:8" x14ac:dyDescent="0.25">
      <c r="F782" s="3"/>
      <c r="H782" s="1"/>
    </row>
    <row r="783" spans="6:8" x14ac:dyDescent="0.25">
      <c r="F783" s="3"/>
      <c r="H783" s="1"/>
    </row>
    <row r="784" spans="6:8" x14ac:dyDescent="0.25">
      <c r="F784" s="3"/>
      <c r="H784" s="1"/>
    </row>
    <row r="785" spans="6:8" x14ac:dyDescent="0.25">
      <c r="F785" s="3"/>
      <c r="H785" s="1"/>
    </row>
    <row r="786" spans="6:8" x14ac:dyDescent="0.25">
      <c r="F786" s="3"/>
      <c r="H786" s="1"/>
    </row>
    <row r="787" spans="6:8" x14ac:dyDescent="0.25">
      <c r="F787" s="3"/>
      <c r="H787" s="1"/>
    </row>
    <row r="788" spans="6:8" x14ac:dyDescent="0.25">
      <c r="F788" s="3"/>
      <c r="H788" s="1"/>
    </row>
    <row r="789" spans="6:8" x14ac:dyDescent="0.25">
      <c r="F789" s="3"/>
      <c r="H789" s="1"/>
    </row>
    <row r="790" spans="6:8" x14ac:dyDescent="0.25">
      <c r="F790" s="3"/>
      <c r="H790" s="1"/>
    </row>
    <row r="791" spans="6:8" x14ac:dyDescent="0.25">
      <c r="F791" s="3"/>
      <c r="H791" s="1"/>
    </row>
    <row r="792" spans="6:8" x14ac:dyDescent="0.25">
      <c r="F792" s="3"/>
      <c r="H792" s="1"/>
    </row>
    <row r="793" spans="6:8" x14ac:dyDescent="0.25">
      <c r="F793" s="3"/>
      <c r="H793" s="1"/>
    </row>
    <row r="794" spans="6:8" x14ac:dyDescent="0.25">
      <c r="F794" s="3"/>
      <c r="H794" s="1"/>
    </row>
    <row r="795" spans="6:8" x14ac:dyDescent="0.25">
      <c r="F795" s="3"/>
      <c r="H795" s="1"/>
    </row>
    <row r="796" spans="6:8" x14ac:dyDescent="0.25">
      <c r="F796" s="3"/>
      <c r="H796" s="1"/>
    </row>
    <row r="797" spans="6:8" x14ac:dyDescent="0.25">
      <c r="F797" s="3"/>
      <c r="H797" s="1"/>
    </row>
    <row r="798" spans="6:8" x14ac:dyDescent="0.25">
      <c r="F798" s="3"/>
      <c r="H798" s="1"/>
    </row>
    <row r="799" spans="6:8" x14ac:dyDescent="0.25">
      <c r="F799" s="3"/>
      <c r="H799" s="1"/>
    </row>
    <row r="800" spans="6:8" x14ac:dyDescent="0.25">
      <c r="F800" s="3"/>
      <c r="H800" s="1"/>
    </row>
    <row r="801" spans="6:8" x14ac:dyDescent="0.25">
      <c r="F801" s="3"/>
      <c r="H801" s="1"/>
    </row>
    <row r="802" spans="6:8" x14ac:dyDescent="0.25">
      <c r="F802" s="3"/>
      <c r="H802" s="1"/>
    </row>
    <row r="803" spans="6:8" x14ac:dyDescent="0.25">
      <c r="F803" s="3"/>
      <c r="H803" s="1"/>
    </row>
    <row r="804" spans="6:8" x14ac:dyDescent="0.25">
      <c r="F804" s="3"/>
      <c r="H804" s="1"/>
    </row>
    <row r="805" spans="6:8" x14ac:dyDescent="0.25">
      <c r="F805" s="3"/>
      <c r="H805" s="1"/>
    </row>
    <row r="806" spans="6:8" x14ac:dyDescent="0.25">
      <c r="F806" s="3"/>
      <c r="H806" s="1"/>
    </row>
    <row r="807" spans="6:8" x14ac:dyDescent="0.25">
      <c r="F807" s="3"/>
      <c r="H807" s="1"/>
    </row>
    <row r="808" spans="6:8" x14ac:dyDescent="0.25">
      <c r="F808" s="3"/>
      <c r="H808" s="1"/>
    </row>
    <row r="809" spans="6:8" x14ac:dyDescent="0.25">
      <c r="F809" s="3"/>
      <c r="H809" s="1"/>
    </row>
    <row r="810" spans="6:8" x14ac:dyDescent="0.25">
      <c r="F810" s="3"/>
      <c r="H810" s="1"/>
    </row>
    <row r="811" spans="6:8" x14ac:dyDescent="0.25">
      <c r="F811" s="3"/>
      <c r="H811" s="1"/>
    </row>
    <row r="812" spans="6:8" x14ac:dyDescent="0.25">
      <c r="F812" s="3"/>
      <c r="H812" s="1"/>
    </row>
    <row r="813" spans="6:8" x14ac:dyDescent="0.25">
      <c r="F813" s="3"/>
      <c r="H813" s="1"/>
    </row>
    <row r="814" spans="6:8" x14ac:dyDescent="0.25">
      <c r="F814" s="3"/>
      <c r="H814" s="1"/>
    </row>
    <row r="815" spans="6:8" x14ac:dyDescent="0.25">
      <c r="F815" s="3"/>
      <c r="H815" s="1"/>
    </row>
    <row r="816" spans="6:8" x14ac:dyDescent="0.25">
      <c r="F816" s="3"/>
      <c r="H816" s="1"/>
    </row>
    <row r="817" spans="6:8" x14ac:dyDescent="0.25">
      <c r="F817" s="3"/>
      <c r="H817" s="1"/>
    </row>
    <row r="818" spans="6:8" x14ac:dyDescent="0.25">
      <c r="F818" s="3"/>
      <c r="H818" s="1"/>
    </row>
    <row r="819" spans="6:8" x14ac:dyDescent="0.25">
      <c r="F819" s="3"/>
      <c r="H819" s="1"/>
    </row>
    <row r="820" spans="6:8" x14ac:dyDescent="0.25">
      <c r="F820" s="3"/>
      <c r="H820" s="1"/>
    </row>
    <row r="821" spans="6:8" x14ac:dyDescent="0.25">
      <c r="F821" s="3"/>
      <c r="H821" s="1"/>
    </row>
    <row r="822" spans="6:8" x14ac:dyDescent="0.25">
      <c r="F822" s="3"/>
      <c r="H822" s="1"/>
    </row>
    <row r="823" spans="6:8" x14ac:dyDescent="0.25">
      <c r="F823" s="3"/>
      <c r="H823" s="1"/>
    </row>
    <row r="824" spans="6:8" x14ac:dyDescent="0.25">
      <c r="F824" s="3"/>
      <c r="H824" s="1"/>
    </row>
    <row r="825" spans="6:8" x14ac:dyDescent="0.25">
      <c r="F825" s="3"/>
      <c r="H825" s="1"/>
    </row>
    <row r="826" spans="6:8" x14ac:dyDescent="0.25">
      <c r="F826" s="3"/>
      <c r="H826" s="1"/>
    </row>
    <row r="827" spans="6:8" x14ac:dyDescent="0.25">
      <c r="F827" s="3"/>
      <c r="H827" s="1"/>
    </row>
    <row r="828" spans="6:8" x14ac:dyDescent="0.25">
      <c r="F828" s="3"/>
      <c r="H828" s="1"/>
    </row>
    <row r="829" spans="6:8" x14ac:dyDescent="0.25">
      <c r="F829" s="3"/>
      <c r="H829" s="1"/>
    </row>
    <row r="830" spans="6:8" x14ac:dyDescent="0.25">
      <c r="F830" s="3"/>
      <c r="H830" s="1"/>
    </row>
    <row r="831" spans="6:8" x14ac:dyDescent="0.25">
      <c r="F831" s="3"/>
      <c r="H831" s="1"/>
    </row>
    <row r="832" spans="6:8" x14ac:dyDescent="0.25">
      <c r="F832" s="3"/>
      <c r="H832" s="1"/>
    </row>
    <row r="833" spans="6:8" x14ac:dyDescent="0.25">
      <c r="F833" s="3"/>
      <c r="H833" s="1"/>
    </row>
    <row r="834" spans="6:8" x14ac:dyDescent="0.25">
      <c r="F834" s="3"/>
      <c r="H834" s="1"/>
    </row>
    <row r="835" spans="6:8" x14ac:dyDescent="0.25">
      <c r="F835" s="3"/>
      <c r="H835" s="1"/>
    </row>
    <row r="836" spans="6:8" x14ac:dyDescent="0.25">
      <c r="F836" s="3"/>
      <c r="H836" s="1"/>
    </row>
    <row r="837" spans="6:8" x14ac:dyDescent="0.25">
      <c r="F837" s="3"/>
      <c r="H837" s="1"/>
    </row>
    <row r="838" spans="6:8" x14ac:dyDescent="0.25">
      <c r="F838" s="3"/>
      <c r="H838" s="1"/>
    </row>
    <row r="839" spans="6:8" x14ac:dyDescent="0.25">
      <c r="F839" s="3"/>
      <c r="H839" s="1"/>
    </row>
    <row r="840" spans="6:8" x14ac:dyDescent="0.25">
      <c r="F840" s="3"/>
      <c r="H840" s="1"/>
    </row>
    <row r="841" spans="6:8" x14ac:dyDescent="0.25">
      <c r="F841" s="3"/>
      <c r="H841" s="1"/>
    </row>
    <row r="842" spans="6:8" x14ac:dyDescent="0.25">
      <c r="F842" s="3"/>
      <c r="H842" s="1"/>
    </row>
    <row r="843" spans="6:8" x14ac:dyDescent="0.25">
      <c r="F843" s="3"/>
      <c r="H843" s="1"/>
    </row>
    <row r="844" spans="6:8" x14ac:dyDescent="0.25">
      <c r="F844" s="3"/>
      <c r="H844" s="1"/>
    </row>
    <row r="845" spans="6:8" x14ac:dyDescent="0.25">
      <c r="F845" s="3"/>
      <c r="H845" s="1"/>
    </row>
    <row r="846" spans="6:8" x14ac:dyDescent="0.25">
      <c r="F846" s="3"/>
      <c r="H846" s="1"/>
    </row>
    <row r="847" spans="6:8" x14ac:dyDescent="0.25">
      <c r="F847" s="3"/>
      <c r="H847" s="1"/>
    </row>
    <row r="848" spans="6:8" x14ac:dyDescent="0.25">
      <c r="F848" s="3"/>
      <c r="H848" s="1"/>
    </row>
    <row r="849" spans="6:8" x14ac:dyDescent="0.25">
      <c r="F849" s="3"/>
      <c r="H849" s="1"/>
    </row>
    <row r="850" spans="6:8" x14ac:dyDescent="0.25">
      <c r="F850" s="3"/>
      <c r="H850" s="1"/>
    </row>
    <row r="851" spans="6:8" x14ac:dyDescent="0.25">
      <c r="F851" s="3"/>
      <c r="H851" s="1"/>
    </row>
    <row r="852" spans="6:8" x14ac:dyDescent="0.25">
      <c r="F852" s="3"/>
      <c r="H852" s="1"/>
    </row>
    <row r="853" spans="6:8" x14ac:dyDescent="0.25">
      <c r="F853" s="3"/>
      <c r="H853" s="1"/>
    </row>
    <row r="854" spans="6:8" x14ac:dyDescent="0.25">
      <c r="F854" s="3"/>
      <c r="H854" s="1"/>
    </row>
    <row r="855" spans="6:8" x14ac:dyDescent="0.25">
      <c r="F855" s="3"/>
      <c r="H855" s="1"/>
    </row>
    <row r="856" spans="6:8" x14ac:dyDescent="0.25">
      <c r="F856" s="3"/>
      <c r="H856" s="1"/>
    </row>
    <row r="857" spans="6:8" x14ac:dyDescent="0.25">
      <c r="F857" s="3"/>
      <c r="H857" s="1"/>
    </row>
    <row r="858" spans="6:8" x14ac:dyDescent="0.25">
      <c r="F858" s="3"/>
      <c r="H858" s="1"/>
    </row>
    <row r="859" spans="6:8" x14ac:dyDescent="0.25">
      <c r="F859" s="3"/>
      <c r="H859" s="1"/>
    </row>
    <row r="860" spans="6:8" x14ac:dyDescent="0.25">
      <c r="F860" s="3"/>
      <c r="H860" s="1"/>
    </row>
    <row r="861" spans="6:8" x14ac:dyDescent="0.25">
      <c r="F861" s="3"/>
      <c r="H861" s="1"/>
    </row>
    <row r="862" spans="6:8" x14ac:dyDescent="0.25">
      <c r="F862" s="3"/>
      <c r="H862" s="1"/>
    </row>
    <row r="863" spans="6:8" x14ac:dyDescent="0.25">
      <c r="F863" s="3"/>
      <c r="H863" s="1"/>
    </row>
    <row r="864" spans="6:8" x14ac:dyDescent="0.25">
      <c r="F864" s="3"/>
      <c r="H864" s="1"/>
    </row>
    <row r="865" spans="6:8" x14ac:dyDescent="0.25">
      <c r="F865" s="3"/>
      <c r="H865" s="1"/>
    </row>
    <row r="866" spans="6:8" x14ac:dyDescent="0.25">
      <c r="F866" s="3"/>
      <c r="H866" s="1"/>
    </row>
    <row r="867" spans="6:8" x14ac:dyDescent="0.25">
      <c r="F867" s="3"/>
      <c r="H867" s="1"/>
    </row>
    <row r="868" spans="6:8" x14ac:dyDescent="0.25">
      <c r="F868" s="3"/>
      <c r="H868" s="1"/>
    </row>
    <row r="869" spans="6:8" x14ac:dyDescent="0.25">
      <c r="F869" s="3"/>
      <c r="H869" s="1"/>
    </row>
    <row r="870" spans="6:8" x14ac:dyDescent="0.25">
      <c r="F870" s="3"/>
      <c r="H870" s="1"/>
    </row>
    <row r="871" spans="6:8" x14ac:dyDescent="0.25">
      <c r="F871" s="3"/>
      <c r="H871" s="1"/>
    </row>
    <row r="872" spans="6:8" x14ac:dyDescent="0.25">
      <c r="F872" s="3"/>
      <c r="H872" s="1"/>
    </row>
    <row r="873" spans="6:8" x14ac:dyDescent="0.25">
      <c r="F873" s="3"/>
      <c r="H873" s="1"/>
    </row>
    <row r="874" spans="6:8" x14ac:dyDescent="0.25">
      <c r="F874" s="3"/>
      <c r="H874" s="1"/>
    </row>
    <row r="875" spans="6:8" x14ac:dyDescent="0.25">
      <c r="F875" s="3"/>
      <c r="H875" s="1"/>
    </row>
    <row r="876" spans="6:8" x14ac:dyDescent="0.25">
      <c r="F876" s="3"/>
      <c r="H876" s="1"/>
    </row>
    <row r="877" spans="6:8" x14ac:dyDescent="0.25">
      <c r="F877" s="3"/>
      <c r="H877" s="1"/>
    </row>
    <row r="878" spans="6:8" x14ac:dyDescent="0.25">
      <c r="F878" s="3"/>
      <c r="H878" s="1"/>
    </row>
    <row r="879" spans="6:8" x14ac:dyDescent="0.25">
      <c r="F879" s="3"/>
      <c r="H879" s="1"/>
    </row>
    <row r="880" spans="6:8" x14ac:dyDescent="0.25">
      <c r="F880" s="3"/>
      <c r="H880" s="1"/>
    </row>
    <row r="881" spans="6:8" x14ac:dyDescent="0.25">
      <c r="F881" s="3"/>
      <c r="H881" s="1"/>
    </row>
    <row r="882" spans="6:8" x14ac:dyDescent="0.25">
      <c r="F882" s="3"/>
      <c r="H882" s="1"/>
    </row>
    <row r="883" spans="6:8" x14ac:dyDescent="0.25">
      <c r="F883" s="3"/>
      <c r="H883" s="1"/>
    </row>
    <row r="884" spans="6:8" x14ac:dyDescent="0.25">
      <c r="F884" s="3"/>
      <c r="H884" s="1"/>
    </row>
    <row r="885" spans="6:8" x14ac:dyDescent="0.25">
      <c r="F885" s="3"/>
      <c r="H885" s="1"/>
    </row>
    <row r="886" spans="6:8" x14ac:dyDescent="0.25">
      <c r="F886" s="3"/>
      <c r="H886" s="1"/>
    </row>
    <row r="887" spans="6:8" x14ac:dyDescent="0.25">
      <c r="F887" s="3"/>
      <c r="H887" s="1"/>
    </row>
    <row r="888" spans="6:8" x14ac:dyDescent="0.25">
      <c r="F888" s="3"/>
      <c r="H888" s="1"/>
    </row>
    <row r="889" spans="6:8" x14ac:dyDescent="0.25">
      <c r="F889" s="3"/>
      <c r="H889" s="1"/>
    </row>
    <row r="890" spans="6:8" x14ac:dyDescent="0.25">
      <c r="F890" s="3"/>
      <c r="H890" s="1"/>
    </row>
    <row r="891" spans="6:8" x14ac:dyDescent="0.25">
      <c r="F891" s="3"/>
      <c r="H891" s="1"/>
    </row>
    <row r="892" spans="6:8" x14ac:dyDescent="0.25">
      <c r="F892" s="3"/>
      <c r="H892" s="1"/>
    </row>
    <row r="893" spans="6:8" x14ac:dyDescent="0.25">
      <c r="F893" s="3"/>
      <c r="H893" s="1"/>
    </row>
    <row r="894" spans="6:8" x14ac:dyDescent="0.25">
      <c r="F894" s="3"/>
      <c r="H894" s="1"/>
    </row>
    <row r="895" spans="6:8" x14ac:dyDescent="0.25">
      <c r="F895" s="3"/>
      <c r="H895" s="1"/>
    </row>
    <row r="896" spans="6:8" x14ac:dyDescent="0.25">
      <c r="F896" s="3"/>
      <c r="H896" s="1"/>
    </row>
    <row r="897" spans="6:8" x14ac:dyDescent="0.25">
      <c r="F897" s="3"/>
      <c r="H897" s="1"/>
    </row>
    <row r="898" spans="6:8" x14ac:dyDescent="0.25">
      <c r="F898" s="3"/>
      <c r="H898" s="1"/>
    </row>
    <row r="899" spans="6:8" x14ac:dyDescent="0.25">
      <c r="F899" s="3"/>
      <c r="H899" s="1"/>
    </row>
    <row r="900" spans="6:8" x14ac:dyDescent="0.25">
      <c r="F900" s="3"/>
      <c r="H900" s="1"/>
    </row>
    <row r="901" spans="6:8" x14ac:dyDescent="0.25">
      <c r="F901" s="3"/>
      <c r="H901" s="1"/>
    </row>
    <row r="902" spans="6:8" x14ac:dyDescent="0.25">
      <c r="F902" s="3"/>
      <c r="H902" s="1"/>
    </row>
    <row r="903" spans="6:8" x14ac:dyDescent="0.25">
      <c r="F903" s="3"/>
      <c r="H903" s="1"/>
    </row>
    <row r="904" spans="6:8" x14ac:dyDescent="0.25">
      <c r="F904" s="3"/>
      <c r="H904" s="1"/>
    </row>
    <row r="905" spans="6:8" x14ac:dyDescent="0.25">
      <c r="F905" s="3"/>
      <c r="H905" s="1"/>
    </row>
    <row r="906" spans="6:8" x14ac:dyDescent="0.25">
      <c r="F906" s="3"/>
      <c r="H906" s="1"/>
    </row>
    <row r="907" spans="6:8" x14ac:dyDescent="0.25">
      <c r="F907" s="3"/>
      <c r="H907" s="1"/>
    </row>
    <row r="908" spans="6:8" x14ac:dyDescent="0.25">
      <c r="F908" s="3"/>
      <c r="H908" s="1"/>
    </row>
    <row r="909" spans="6:8" x14ac:dyDescent="0.25">
      <c r="F909" s="3"/>
      <c r="H909" s="1"/>
    </row>
    <row r="910" spans="6:8" x14ac:dyDescent="0.25">
      <c r="F910" s="3"/>
      <c r="H910" s="1"/>
    </row>
    <row r="911" spans="6:8" x14ac:dyDescent="0.25">
      <c r="F911" s="3"/>
      <c r="H911" s="1"/>
    </row>
    <row r="912" spans="6:8" x14ac:dyDescent="0.25">
      <c r="F912" s="3"/>
      <c r="H912" s="1"/>
    </row>
    <row r="913" spans="6:8" x14ac:dyDescent="0.25">
      <c r="F913" s="3"/>
      <c r="H913" s="1"/>
    </row>
    <row r="914" spans="6:8" x14ac:dyDescent="0.25">
      <c r="F914" s="3"/>
      <c r="H914" s="1"/>
    </row>
    <row r="915" spans="6:8" x14ac:dyDescent="0.25">
      <c r="F915" s="3"/>
      <c r="H915" s="1"/>
    </row>
    <row r="916" spans="6:8" x14ac:dyDescent="0.25">
      <c r="F916" s="3"/>
      <c r="H916" s="1"/>
    </row>
    <row r="917" spans="6:8" x14ac:dyDescent="0.25">
      <c r="F917" s="3"/>
      <c r="H917" s="1"/>
    </row>
    <row r="918" spans="6:8" x14ac:dyDescent="0.25">
      <c r="F918" s="3"/>
      <c r="H918" s="1"/>
    </row>
    <row r="919" spans="6:8" x14ac:dyDescent="0.25">
      <c r="F919" s="3"/>
      <c r="H919" s="1"/>
    </row>
    <row r="920" spans="6:8" x14ac:dyDescent="0.25">
      <c r="F920" s="3"/>
      <c r="H920" s="1"/>
    </row>
    <row r="921" spans="6:8" x14ac:dyDescent="0.25">
      <c r="F921" s="3"/>
      <c r="H921" s="1"/>
    </row>
    <row r="922" spans="6:8" x14ac:dyDescent="0.25">
      <c r="F922" s="3"/>
      <c r="H922" s="1"/>
    </row>
    <row r="923" spans="6:8" x14ac:dyDescent="0.25">
      <c r="F923" s="3"/>
      <c r="H923" s="1"/>
    </row>
    <row r="924" spans="6:8" x14ac:dyDescent="0.25">
      <c r="F924" s="3"/>
      <c r="H924" s="1"/>
    </row>
    <row r="925" spans="6:8" x14ac:dyDescent="0.25">
      <c r="F925" s="3"/>
      <c r="H925" s="1"/>
    </row>
    <row r="926" spans="6:8" x14ac:dyDescent="0.25">
      <c r="F926" s="3"/>
      <c r="H926" s="1"/>
    </row>
    <row r="927" spans="6:8" x14ac:dyDescent="0.25">
      <c r="F927" s="3"/>
      <c r="H927" s="1"/>
    </row>
    <row r="928" spans="6:8" x14ac:dyDescent="0.25">
      <c r="F928" s="3"/>
      <c r="H928" s="1"/>
    </row>
    <row r="929" spans="6:8" x14ac:dyDescent="0.25">
      <c r="F929" s="3"/>
      <c r="H929" s="1"/>
    </row>
    <row r="930" spans="6:8" x14ac:dyDescent="0.25">
      <c r="F930" s="3"/>
      <c r="H930" s="1"/>
    </row>
    <row r="931" spans="6:8" x14ac:dyDescent="0.25">
      <c r="F931" s="3"/>
      <c r="H931" s="1"/>
    </row>
    <row r="932" spans="6:8" x14ac:dyDescent="0.25">
      <c r="F932" s="3"/>
      <c r="H932" s="1"/>
    </row>
    <row r="933" spans="6:8" x14ac:dyDescent="0.25">
      <c r="F933" s="3"/>
      <c r="H933" s="1"/>
    </row>
    <row r="934" spans="6:8" x14ac:dyDescent="0.25">
      <c r="F934" s="3"/>
      <c r="H934" s="1"/>
    </row>
    <row r="935" spans="6:8" x14ac:dyDescent="0.25">
      <c r="F935" s="3"/>
      <c r="H935" s="1"/>
    </row>
    <row r="936" spans="6:8" x14ac:dyDescent="0.25">
      <c r="F936" s="3"/>
      <c r="H936" s="1"/>
    </row>
    <row r="937" spans="6:8" x14ac:dyDescent="0.25">
      <c r="F937" s="3"/>
      <c r="H937" s="1"/>
    </row>
    <row r="938" spans="6:8" x14ac:dyDescent="0.25">
      <c r="F938" s="3"/>
      <c r="H938" s="1"/>
    </row>
    <row r="939" spans="6:8" x14ac:dyDescent="0.25">
      <c r="F939" s="3"/>
      <c r="H939" s="1"/>
    </row>
    <row r="940" spans="6:8" x14ac:dyDescent="0.25">
      <c r="F940" s="3"/>
      <c r="H940" s="1"/>
    </row>
    <row r="941" spans="6:8" x14ac:dyDescent="0.25">
      <c r="F941" s="3"/>
      <c r="H941" s="1"/>
    </row>
    <row r="942" spans="6:8" x14ac:dyDescent="0.25">
      <c r="F942" s="3"/>
      <c r="H942" s="1"/>
    </row>
    <row r="943" spans="6:8" x14ac:dyDescent="0.25">
      <c r="F943" s="3"/>
      <c r="H943" s="1"/>
    </row>
    <row r="944" spans="6:8" x14ac:dyDescent="0.25">
      <c r="F944" s="3"/>
      <c r="H944" s="1"/>
    </row>
    <row r="945" spans="6:8" x14ac:dyDescent="0.25">
      <c r="F945" s="3"/>
      <c r="H945" s="1"/>
    </row>
    <row r="946" spans="6:8" x14ac:dyDescent="0.25">
      <c r="F946" s="3"/>
      <c r="H946" s="1"/>
    </row>
    <row r="947" spans="6:8" x14ac:dyDescent="0.25">
      <c r="F947" s="3"/>
      <c r="H947" s="1"/>
    </row>
    <row r="948" spans="6:8" x14ac:dyDescent="0.25">
      <c r="F948" s="3"/>
      <c r="H948" s="1"/>
    </row>
    <row r="949" spans="6:8" x14ac:dyDescent="0.25">
      <c r="F949" s="3"/>
      <c r="H949" s="1"/>
    </row>
    <row r="950" spans="6:8" x14ac:dyDescent="0.25">
      <c r="F950" s="3"/>
      <c r="H950" s="1"/>
    </row>
    <row r="951" spans="6:8" x14ac:dyDescent="0.25">
      <c r="F951" s="3"/>
      <c r="H951" s="1"/>
    </row>
    <row r="952" spans="6:8" x14ac:dyDescent="0.25">
      <c r="F952" s="3"/>
      <c r="H952" s="1"/>
    </row>
    <row r="953" spans="6:8" x14ac:dyDescent="0.25">
      <c r="F953" s="3"/>
      <c r="H953" s="1"/>
    </row>
    <row r="954" spans="6:8" x14ac:dyDescent="0.25">
      <c r="F954" s="3"/>
      <c r="H954" s="1"/>
    </row>
    <row r="955" spans="6:8" x14ac:dyDescent="0.25">
      <c r="F955" s="3"/>
      <c r="H955" s="1"/>
    </row>
    <row r="956" spans="6:8" x14ac:dyDescent="0.25">
      <c r="F956" s="3"/>
      <c r="H956" s="1"/>
    </row>
    <row r="957" spans="6:8" x14ac:dyDescent="0.25">
      <c r="F957" s="3"/>
      <c r="H957" s="1"/>
    </row>
    <row r="958" spans="6:8" x14ac:dyDescent="0.25">
      <c r="F958" s="3"/>
      <c r="H958" s="1"/>
    </row>
    <row r="959" spans="6:8" x14ac:dyDescent="0.25">
      <c r="F959" s="3"/>
      <c r="H959" s="1"/>
    </row>
    <row r="960" spans="6:8" x14ac:dyDescent="0.25">
      <c r="F960" s="3"/>
      <c r="H960" s="1"/>
    </row>
    <row r="961" spans="6:8" x14ac:dyDescent="0.25">
      <c r="F961" s="3"/>
      <c r="H961" s="1"/>
    </row>
    <row r="962" spans="6:8" x14ac:dyDescent="0.25">
      <c r="F962" s="3"/>
      <c r="H962" s="1"/>
    </row>
    <row r="963" spans="6:8" x14ac:dyDescent="0.25">
      <c r="F963" s="3"/>
      <c r="H963" s="1"/>
    </row>
    <row r="964" spans="6:8" x14ac:dyDescent="0.25">
      <c r="F964" s="3"/>
      <c r="H964" s="1"/>
    </row>
    <row r="965" spans="6:8" x14ac:dyDescent="0.25">
      <c r="F965" s="3"/>
      <c r="H965" s="1"/>
    </row>
    <row r="966" spans="6:8" x14ac:dyDescent="0.25">
      <c r="F966" s="3"/>
      <c r="H966" s="1"/>
    </row>
    <row r="967" spans="6:8" x14ac:dyDescent="0.25">
      <c r="F967" s="3"/>
      <c r="H967" s="1"/>
    </row>
    <row r="968" spans="6:8" x14ac:dyDescent="0.25">
      <c r="F968" s="3"/>
      <c r="H968" s="1"/>
    </row>
    <row r="969" spans="6:8" x14ac:dyDescent="0.25">
      <c r="F969" s="3"/>
      <c r="H969" s="1"/>
    </row>
    <row r="970" spans="6:8" x14ac:dyDescent="0.25">
      <c r="F970" s="3"/>
      <c r="H970" s="1"/>
    </row>
    <row r="971" spans="6:8" x14ac:dyDescent="0.25">
      <c r="F971" s="3"/>
      <c r="H971" s="1"/>
    </row>
    <row r="972" spans="6:8" x14ac:dyDescent="0.25">
      <c r="F972" s="3"/>
      <c r="H972" s="1"/>
    </row>
    <row r="973" spans="6:8" x14ac:dyDescent="0.25">
      <c r="F973" s="3"/>
      <c r="H973" s="1"/>
    </row>
    <row r="974" spans="6:8" x14ac:dyDescent="0.25">
      <c r="F974" s="3"/>
      <c r="H974" s="1"/>
    </row>
    <row r="975" spans="6:8" x14ac:dyDescent="0.25">
      <c r="F975" s="3"/>
      <c r="H975" s="1"/>
    </row>
    <row r="976" spans="6:8" x14ac:dyDescent="0.25">
      <c r="F976" s="3"/>
      <c r="H976" s="1"/>
    </row>
    <row r="977" spans="6:8" x14ac:dyDescent="0.25">
      <c r="F977" s="3"/>
      <c r="H977" s="1"/>
    </row>
    <row r="978" spans="6:8" x14ac:dyDescent="0.25">
      <c r="F978" s="3"/>
      <c r="H978" s="1"/>
    </row>
    <row r="979" spans="6:8" x14ac:dyDescent="0.25">
      <c r="F979" s="3"/>
      <c r="H979" s="1"/>
    </row>
    <row r="980" spans="6:8" x14ac:dyDescent="0.25">
      <c r="F980" s="3"/>
      <c r="H980" s="1"/>
    </row>
    <row r="981" spans="6:8" x14ac:dyDescent="0.25">
      <c r="F981" s="3"/>
      <c r="H981" s="1"/>
    </row>
    <row r="982" spans="6:8" x14ac:dyDescent="0.25">
      <c r="F982" s="3"/>
      <c r="H982" s="1"/>
    </row>
    <row r="983" spans="6:8" x14ac:dyDescent="0.25">
      <c r="F983" s="3"/>
      <c r="H983" s="1"/>
    </row>
    <row r="984" spans="6:8" x14ac:dyDescent="0.25">
      <c r="F984" s="3"/>
      <c r="H984" s="1"/>
    </row>
    <row r="985" spans="6:8" x14ac:dyDescent="0.25">
      <c r="F985" s="3"/>
      <c r="H985" s="1"/>
    </row>
    <row r="986" spans="6:8" x14ac:dyDescent="0.25">
      <c r="F986" s="3"/>
      <c r="H986" s="1"/>
    </row>
    <row r="987" spans="6:8" x14ac:dyDescent="0.25">
      <c r="F987" s="3"/>
      <c r="H987" s="1"/>
    </row>
    <row r="988" spans="6:8" x14ac:dyDescent="0.25">
      <c r="F988" s="3"/>
      <c r="H988" s="1"/>
    </row>
    <row r="989" spans="6:8" x14ac:dyDescent="0.25">
      <c r="F989" s="3"/>
      <c r="H989" s="1"/>
    </row>
    <row r="990" spans="6:8" x14ac:dyDescent="0.25">
      <c r="F990" s="3"/>
      <c r="H990" s="1"/>
    </row>
    <row r="991" spans="6:8" x14ac:dyDescent="0.25">
      <c r="F991" s="3"/>
      <c r="H991" s="1"/>
    </row>
    <row r="992" spans="6:8" x14ac:dyDescent="0.25">
      <c r="F992" s="3"/>
      <c r="H992" s="1"/>
    </row>
    <row r="993" spans="6:8" x14ac:dyDescent="0.25">
      <c r="F993" s="3"/>
      <c r="H993" s="1"/>
    </row>
    <row r="994" spans="6:8" x14ac:dyDescent="0.25">
      <c r="F994" s="3"/>
      <c r="H994" s="1"/>
    </row>
    <row r="995" spans="6:8" x14ac:dyDescent="0.25">
      <c r="F995" s="3"/>
      <c r="H995" s="1"/>
    </row>
    <row r="996" spans="6:8" x14ac:dyDescent="0.25">
      <c r="F996" s="3"/>
      <c r="H996" s="1"/>
    </row>
    <row r="997" spans="6:8" x14ac:dyDescent="0.25">
      <c r="F997" s="3"/>
      <c r="H997" s="1"/>
    </row>
    <row r="998" spans="6:8" x14ac:dyDescent="0.25">
      <c r="F998" s="3"/>
      <c r="H998" s="1"/>
    </row>
    <row r="999" spans="6:8" x14ac:dyDescent="0.25">
      <c r="F999" s="3"/>
      <c r="H999" s="1"/>
    </row>
    <row r="1000" spans="6:8" x14ac:dyDescent="0.25">
      <c r="F1000" s="3"/>
      <c r="H1000" s="1"/>
    </row>
    <row r="1001" spans="6:8" x14ac:dyDescent="0.25">
      <c r="F1001" s="3"/>
      <c r="H1001" s="1"/>
    </row>
    <row r="1002" spans="6:8" x14ac:dyDescent="0.25">
      <c r="F1002" s="3"/>
      <c r="H1002" s="1"/>
    </row>
    <row r="1003" spans="6:8" x14ac:dyDescent="0.25">
      <c r="F1003" s="3"/>
      <c r="H1003" s="1"/>
    </row>
    <row r="1004" spans="6:8" x14ac:dyDescent="0.25">
      <c r="F1004" s="3"/>
      <c r="H1004" s="1"/>
    </row>
    <row r="1005" spans="6:8" x14ac:dyDescent="0.25">
      <c r="F1005" s="3"/>
      <c r="H1005" s="1"/>
    </row>
    <row r="1006" spans="6:8" x14ac:dyDescent="0.25">
      <c r="F1006" s="3"/>
      <c r="H1006" s="1"/>
    </row>
    <row r="1007" spans="6:8" x14ac:dyDescent="0.25">
      <c r="F1007" s="3"/>
      <c r="H1007" s="1"/>
    </row>
    <row r="1008" spans="6:8" x14ac:dyDescent="0.25">
      <c r="F1008" s="3"/>
      <c r="H1008" s="1"/>
    </row>
    <row r="1009" spans="6:8" x14ac:dyDescent="0.25">
      <c r="F1009" s="3"/>
      <c r="H1009" s="1"/>
    </row>
    <row r="1010" spans="6:8" x14ac:dyDescent="0.25">
      <c r="F1010" s="3"/>
      <c r="H1010" s="1"/>
    </row>
    <row r="1011" spans="6:8" x14ac:dyDescent="0.25">
      <c r="F1011" s="3"/>
      <c r="H1011" s="1"/>
    </row>
    <row r="1012" spans="6:8" x14ac:dyDescent="0.25">
      <c r="F1012" s="3"/>
      <c r="H1012" s="1"/>
    </row>
    <row r="1013" spans="6:8" x14ac:dyDescent="0.25">
      <c r="F1013" s="3"/>
      <c r="H1013" s="1"/>
    </row>
    <row r="1014" spans="6:8" x14ac:dyDescent="0.25">
      <c r="F1014" s="3"/>
      <c r="H1014" s="1"/>
    </row>
    <row r="1015" spans="6:8" x14ac:dyDescent="0.25">
      <c r="F1015" s="3"/>
      <c r="H1015" s="1"/>
    </row>
    <row r="1016" spans="6:8" x14ac:dyDescent="0.25">
      <c r="F1016" s="3"/>
      <c r="H1016" s="1"/>
    </row>
    <row r="1017" spans="6:8" x14ac:dyDescent="0.25">
      <c r="F1017" s="3"/>
      <c r="H1017" s="1"/>
    </row>
    <row r="1018" spans="6:8" x14ac:dyDescent="0.25">
      <c r="F1018" s="3"/>
      <c r="H1018" s="1"/>
    </row>
    <row r="1019" spans="6:8" x14ac:dyDescent="0.25">
      <c r="F1019" s="3"/>
      <c r="H1019" s="1"/>
    </row>
    <row r="1020" spans="6:8" x14ac:dyDescent="0.25">
      <c r="F1020" s="3"/>
      <c r="H1020" s="1"/>
    </row>
    <row r="1021" spans="6:8" x14ac:dyDescent="0.25">
      <c r="F1021" s="3"/>
      <c r="H1021" s="1"/>
    </row>
    <row r="1022" spans="6:8" x14ac:dyDescent="0.25">
      <c r="F1022" s="3"/>
      <c r="H1022" s="1"/>
    </row>
    <row r="1023" spans="6:8" x14ac:dyDescent="0.25">
      <c r="F1023" s="3"/>
      <c r="H1023" s="1"/>
    </row>
    <row r="1024" spans="6:8" x14ac:dyDescent="0.25">
      <c r="F1024" s="3"/>
      <c r="H1024" s="1"/>
    </row>
    <row r="1025" spans="6:8" x14ac:dyDescent="0.25">
      <c r="F1025" s="3"/>
      <c r="H1025" s="1"/>
    </row>
    <row r="1026" spans="6:8" x14ac:dyDescent="0.25">
      <c r="F1026" s="3"/>
      <c r="H1026" s="1"/>
    </row>
    <row r="1027" spans="6:8" x14ac:dyDescent="0.25">
      <c r="F1027" s="3"/>
      <c r="H1027" s="1"/>
    </row>
    <row r="1028" spans="6:8" x14ac:dyDescent="0.25">
      <c r="F1028" s="3"/>
      <c r="H1028" s="1"/>
    </row>
    <row r="1029" spans="6:8" x14ac:dyDescent="0.25">
      <c r="F1029" s="3"/>
      <c r="H1029" s="1"/>
    </row>
    <row r="1030" spans="6:8" x14ac:dyDescent="0.25">
      <c r="F1030" s="3"/>
      <c r="H1030" s="1"/>
    </row>
    <row r="1031" spans="6:8" x14ac:dyDescent="0.25">
      <c r="F1031" s="3"/>
      <c r="H1031" s="1"/>
    </row>
    <row r="1032" spans="6:8" x14ac:dyDescent="0.25">
      <c r="F1032" s="3"/>
      <c r="H1032" s="1"/>
    </row>
    <row r="1033" spans="6:8" x14ac:dyDescent="0.25">
      <c r="F1033" s="3"/>
      <c r="H1033" s="1"/>
    </row>
    <row r="1034" spans="6:8" x14ac:dyDescent="0.25">
      <c r="F1034" s="3"/>
      <c r="H1034" s="1"/>
    </row>
    <row r="1035" spans="6:8" x14ac:dyDescent="0.25">
      <c r="F1035" s="3"/>
      <c r="H1035" s="1"/>
    </row>
    <row r="1036" spans="6:8" x14ac:dyDescent="0.25">
      <c r="F1036" s="3"/>
      <c r="H1036" s="1"/>
    </row>
    <row r="1037" spans="6:8" x14ac:dyDescent="0.25">
      <c r="F1037" s="3"/>
      <c r="H1037" s="1"/>
    </row>
    <row r="1038" spans="6:8" x14ac:dyDescent="0.25">
      <c r="F1038" s="3"/>
      <c r="H1038" s="1"/>
    </row>
    <row r="1039" spans="6:8" x14ac:dyDescent="0.25">
      <c r="F1039" s="3"/>
      <c r="H1039" s="1"/>
    </row>
    <row r="1040" spans="6:8" x14ac:dyDescent="0.25">
      <c r="F1040" s="3"/>
      <c r="H1040" s="1"/>
    </row>
    <row r="1041" spans="6:8" x14ac:dyDescent="0.25">
      <c r="F1041" s="3"/>
      <c r="H1041" s="1"/>
    </row>
    <row r="1042" spans="6:8" x14ac:dyDescent="0.25">
      <c r="F1042" s="3"/>
      <c r="H1042" s="1"/>
    </row>
    <row r="1043" spans="6:8" x14ac:dyDescent="0.25">
      <c r="F1043" s="3"/>
      <c r="H1043" s="1"/>
    </row>
    <row r="1044" spans="6:8" x14ac:dyDescent="0.25">
      <c r="F1044" s="3"/>
      <c r="H1044" s="1"/>
    </row>
    <row r="1045" spans="6:8" x14ac:dyDescent="0.25">
      <c r="F1045" s="3"/>
      <c r="H1045" s="1"/>
    </row>
    <row r="1046" spans="6:8" x14ac:dyDescent="0.25">
      <c r="F1046" s="3"/>
      <c r="H1046" s="1"/>
    </row>
    <row r="1047" spans="6:8" x14ac:dyDescent="0.25">
      <c r="F1047" s="3"/>
      <c r="H1047" s="1"/>
    </row>
    <row r="1048" spans="6:8" x14ac:dyDescent="0.25">
      <c r="F1048" s="3"/>
      <c r="H1048" s="1"/>
    </row>
    <row r="1049" spans="6:8" x14ac:dyDescent="0.25">
      <c r="F1049" s="3"/>
      <c r="H1049" s="1"/>
    </row>
    <row r="1050" spans="6:8" x14ac:dyDescent="0.25">
      <c r="F1050" s="3"/>
      <c r="H1050" s="1"/>
    </row>
    <row r="1051" spans="6:8" x14ac:dyDescent="0.25">
      <c r="F1051" s="3"/>
      <c r="H1051" s="1"/>
    </row>
    <row r="1052" spans="6:8" x14ac:dyDescent="0.25">
      <c r="F1052" s="3"/>
      <c r="H1052" s="1"/>
    </row>
    <row r="1053" spans="6:8" x14ac:dyDescent="0.25">
      <c r="F1053" s="3"/>
      <c r="H1053" s="1"/>
    </row>
    <row r="1054" spans="6:8" x14ac:dyDescent="0.25">
      <c r="F1054" s="3"/>
      <c r="H1054" s="1"/>
    </row>
    <row r="1055" spans="6:8" x14ac:dyDescent="0.25">
      <c r="F1055" s="3"/>
      <c r="H1055" s="1"/>
    </row>
    <row r="1056" spans="6:8" x14ac:dyDescent="0.25">
      <c r="F1056" s="3"/>
      <c r="H1056" s="1"/>
    </row>
    <row r="1057" spans="6:8" x14ac:dyDescent="0.25">
      <c r="F1057" s="3"/>
      <c r="H1057" s="1"/>
    </row>
    <row r="1058" spans="6:8" x14ac:dyDescent="0.25">
      <c r="F1058" s="3"/>
      <c r="H1058" s="1"/>
    </row>
    <row r="1059" spans="6:8" x14ac:dyDescent="0.25">
      <c r="F1059" s="3"/>
      <c r="H1059" s="1"/>
    </row>
    <row r="1060" spans="6:8" x14ac:dyDescent="0.25">
      <c r="F1060" s="3"/>
      <c r="H1060" s="1"/>
    </row>
    <row r="1061" spans="6:8" x14ac:dyDescent="0.25">
      <c r="F1061" s="3"/>
      <c r="H1061" s="1"/>
    </row>
    <row r="1062" spans="6:8" x14ac:dyDescent="0.25">
      <c r="F1062" s="3"/>
      <c r="H1062" s="1"/>
    </row>
    <row r="1063" spans="6:8" x14ac:dyDescent="0.25">
      <c r="F1063" s="3"/>
      <c r="H1063" s="1"/>
    </row>
    <row r="1064" spans="6:8" x14ac:dyDescent="0.25">
      <c r="F1064" s="3"/>
      <c r="H1064" s="1"/>
    </row>
    <row r="1065" spans="6:8" x14ac:dyDescent="0.25">
      <c r="F1065" s="3"/>
      <c r="H1065" s="1"/>
    </row>
    <row r="1066" spans="6:8" x14ac:dyDescent="0.25">
      <c r="F1066" s="3"/>
      <c r="H1066" s="1"/>
    </row>
    <row r="1067" spans="6:8" x14ac:dyDescent="0.25">
      <c r="F1067" s="3"/>
      <c r="H1067" s="1"/>
    </row>
    <row r="1068" spans="6:8" x14ac:dyDescent="0.25">
      <c r="F1068" s="3"/>
      <c r="H1068" s="1"/>
    </row>
    <row r="1069" spans="6:8" x14ac:dyDescent="0.25">
      <c r="F1069" s="3"/>
      <c r="H1069" s="1"/>
    </row>
    <row r="1070" spans="6:8" x14ac:dyDescent="0.25">
      <c r="F1070" s="3"/>
      <c r="H1070" s="1"/>
    </row>
    <row r="1071" spans="6:8" x14ac:dyDescent="0.25">
      <c r="F1071" s="3"/>
      <c r="H1071" s="1"/>
    </row>
    <row r="1072" spans="6:8" x14ac:dyDescent="0.25">
      <c r="F1072" s="3"/>
      <c r="H1072" s="1"/>
    </row>
    <row r="1073" spans="6:8" x14ac:dyDescent="0.25">
      <c r="F1073" s="3"/>
      <c r="H1073" s="1"/>
    </row>
    <row r="1074" spans="6:8" x14ac:dyDescent="0.25">
      <c r="F1074" s="3"/>
      <c r="H1074" s="1"/>
    </row>
    <row r="1075" spans="6:8" x14ac:dyDescent="0.25">
      <c r="F1075" s="3"/>
      <c r="H1075" s="1"/>
    </row>
    <row r="1076" spans="6:8" x14ac:dyDescent="0.25">
      <c r="F1076" s="3"/>
      <c r="H1076" s="1"/>
    </row>
    <row r="1077" spans="6:8" x14ac:dyDescent="0.25">
      <c r="F1077" s="3"/>
      <c r="H1077" s="1"/>
    </row>
    <row r="1078" spans="6:8" x14ac:dyDescent="0.25">
      <c r="F1078" s="3"/>
      <c r="H1078" s="1"/>
    </row>
    <row r="1079" spans="6:8" x14ac:dyDescent="0.25">
      <c r="F1079" s="3"/>
      <c r="H1079" s="1"/>
    </row>
    <row r="1080" spans="6:8" x14ac:dyDescent="0.25">
      <c r="F1080" s="3"/>
      <c r="H1080" s="1"/>
    </row>
    <row r="1081" spans="6:8" x14ac:dyDescent="0.25">
      <c r="F1081" s="3"/>
      <c r="H1081" s="1"/>
    </row>
    <row r="1082" spans="6:8" x14ac:dyDescent="0.25">
      <c r="F1082" s="3"/>
      <c r="H1082" s="1"/>
    </row>
    <row r="1083" spans="6:8" x14ac:dyDescent="0.25">
      <c r="F1083" s="3"/>
      <c r="H1083" s="1"/>
    </row>
    <row r="1084" spans="6:8" x14ac:dyDescent="0.25">
      <c r="F1084" s="3"/>
      <c r="H1084" s="1"/>
    </row>
    <row r="1085" spans="6:8" x14ac:dyDescent="0.25">
      <c r="F1085" s="3"/>
      <c r="H1085" s="1"/>
    </row>
    <row r="1086" spans="6:8" x14ac:dyDescent="0.25">
      <c r="F1086" s="3"/>
      <c r="H1086" s="1"/>
    </row>
    <row r="1087" spans="6:8" x14ac:dyDescent="0.25">
      <c r="F1087" s="3"/>
      <c r="H1087" s="1"/>
    </row>
    <row r="1088" spans="6:8" x14ac:dyDescent="0.25">
      <c r="F1088" s="3"/>
      <c r="H1088" s="1"/>
    </row>
    <row r="1089" spans="6:8" x14ac:dyDescent="0.25">
      <c r="F1089" s="3"/>
      <c r="H1089" s="1"/>
    </row>
    <row r="1090" spans="6:8" x14ac:dyDescent="0.25">
      <c r="F1090" s="3"/>
      <c r="H1090" s="1"/>
    </row>
    <row r="1091" spans="6:8" x14ac:dyDescent="0.25">
      <c r="F1091" s="3"/>
      <c r="H1091" s="1"/>
    </row>
    <row r="1092" spans="6:8" x14ac:dyDescent="0.25">
      <c r="F1092" s="3"/>
      <c r="H1092" s="1"/>
    </row>
    <row r="1093" spans="6:8" x14ac:dyDescent="0.25">
      <c r="F1093" s="3"/>
      <c r="H1093" s="1"/>
    </row>
    <row r="1094" spans="6:8" x14ac:dyDescent="0.25">
      <c r="F1094" s="3"/>
      <c r="H1094" s="1"/>
    </row>
    <row r="1095" spans="6:8" x14ac:dyDescent="0.25">
      <c r="F1095" s="3"/>
      <c r="H1095" s="1"/>
    </row>
    <row r="1096" spans="6:8" x14ac:dyDescent="0.25">
      <c r="F1096" s="3"/>
      <c r="H1096" s="1"/>
    </row>
    <row r="1097" spans="6:8" x14ac:dyDescent="0.25">
      <c r="F1097" s="3"/>
      <c r="H1097" s="1"/>
    </row>
    <row r="1098" spans="6:8" x14ac:dyDescent="0.25">
      <c r="F1098" s="3"/>
      <c r="H1098" s="1"/>
    </row>
    <row r="1099" spans="6:8" x14ac:dyDescent="0.25">
      <c r="F1099" s="3"/>
      <c r="H1099" s="1"/>
    </row>
    <row r="1100" spans="6:8" x14ac:dyDescent="0.25">
      <c r="F1100" s="3"/>
      <c r="H1100" s="1"/>
    </row>
    <row r="1101" spans="6:8" x14ac:dyDescent="0.25">
      <c r="F1101" s="3"/>
      <c r="H1101" s="1"/>
    </row>
    <row r="1102" spans="6:8" x14ac:dyDescent="0.25">
      <c r="F1102" s="3"/>
      <c r="H1102" s="1"/>
    </row>
    <row r="1103" spans="6:8" x14ac:dyDescent="0.25">
      <c r="F1103" s="3"/>
      <c r="H1103" s="1"/>
    </row>
    <row r="1104" spans="6:8" x14ac:dyDescent="0.25">
      <c r="F1104" s="3"/>
      <c r="H1104" s="1"/>
    </row>
    <row r="1105" spans="6:8" x14ac:dyDescent="0.25">
      <c r="F1105" s="3"/>
      <c r="H1105" s="1"/>
    </row>
    <row r="1106" spans="6:8" x14ac:dyDescent="0.25">
      <c r="F1106" s="3"/>
      <c r="H1106" s="1"/>
    </row>
    <row r="1107" spans="6:8" x14ac:dyDescent="0.25">
      <c r="F1107" s="3"/>
      <c r="H1107" s="1"/>
    </row>
    <row r="1108" spans="6:8" x14ac:dyDescent="0.25">
      <c r="F1108" s="3"/>
      <c r="H1108" s="1"/>
    </row>
    <row r="1109" spans="6:8" x14ac:dyDescent="0.25">
      <c r="F1109" s="3"/>
      <c r="H1109" s="1"/>
    </row>
    <row r="1110" spans="6:8" x14ac:dyDescent="0.25">
      <c r="F1110" s="3"/>
      <c r="H1110" s="1"/>
    </row>
    <row r="1111" spans="6:8" x14ac:dyDescent="0.25">
      <c r="F1111" s="3"/>
      <c r="H1111" s="1"/>
    </row>
    <row r="1112" spans="6:8" x14ac:dyDescent="0.25">
      <c r="F1112" s="3"/>
      <c r="H1112" s="1"/>
    </row>
    <row r="1113" spans="6:8" x14ac:dyDescent="0.25">
      <c r="F1113" s="3"/>
      <c r="H1113" s="1"/>
    </row>
    <row r="1114" spans="6:8" x14ac:dyDescent="0.25">
      <c r="F1114" s="3"/>
      <c r="H1114" s="1"/>
    </row>
    <row r="1115" spans="6:8" x14ac:dyDescent="0.25">
      <c r="F1115" s="3"/>
      <c r="H1115" s="1"/>
    </row>
    <row r="1116" spans="6:8" x14ac:dyDescent="0.25">
      <c r="F1116" s="3"/>
      <c r="H1116" s="1"/>
    </row>
    <row r="1117" spans="6:8" x14ac:dyDescent="0.25">
      <c r="F1117" s="3"/>
      <c r="H1117" s="1"/>
    </row>
    <row r="1118" spans="6:8" x14ac:dyDescent="0.25">
      <c r="F1118" s="3"/>
      <c r="H1118" s="1"/>
    </row>
    <row r="1119" spans="6:8" x14ac:dyDescent="0.25">
      <c r="F1119" s="3"/>
      <c r="H1119" s="1"/>
    </row>
    <row r="1120" spans="6:8" x14ac:dyDescent="0.25">
      <c r="F1120" s="3"/>
      <c r="H1120" s="1"/>
    </row>
    <row r="1121" spans="6:8" x14ac:dyDescent="0.25">
      <c r="F1121" s="3"/>
      <c r="H1121" s="1"/>
    </row>
    <row r="1122" spans="6:8" x14ac:dyDescent="0.25">
      <c r="F1122" s="3"/>
      <c r="H1122" s="1"/>
    </row>
    <row r="1123" spans="6:8" x14ac:dyDescent="0.25">
      <c r="F1123" s="3"/>
      <c r="H1123" s="1"/>
    </row>
    <row r="1124" spans="6:8" x14ac:dyDescent="0.25">
      <c r="F1124" s="3"/>
      <c r="H1124" s="1"/>
    </row>
    <row r="1125" spans="6:8" x14ac:dyDescent="0.25">
      <c r="F1125" s="3"/>
      <c r="H1125" s="1"/>
    </row>
    <row r="1126" spans="6:8" x14ac:dyDescent="0.25">
      <c r="F1126" s="3"/>
      <c r="H1126" s="1"/>
    </row>
    <row r="1127" spans="6:8" x14ac:dyDescent="0.25">
      <c r="F1127" s="3"/>
      <c r="H1127" s="1"/>
    </row>
    <row r="1128" spans="6:8" x14ac:dyDescent="0.25">
      <c r="F1128" s="3"/>
      <c r="H1128" s="1"/>
    </row>
    <row r="1129" spans="6:8" x14ac:dyDescent="0.25">
      <c r="F1129" s="3"/>
      <c r="H1129" s="1"/>
    </row>
    <row r="1130" spans="6:8" x14ac:dyDescent="0.25">
      <c r="F1130" s="3"/>
      <c r="H1130" s="1"/>
    </row>
    <row r="1131" spans="6:8" x14ac:dyDescent="0.25">
      <c r="F1131" s="3"/>
      <c r="H1131" s="1"/>
    </row>
    <row r="1132" spans="6:8" x14ac:dyDescent="0.25">
      <c r="F1132" s="3"/>
      <c r="H1132" s="1"/>
    </row>
    <row r="1133" spans="6:8" x14ac:dyDescent="0.25">
      <c r="F1133" s="3"/>
      <c r="H1133" s="1"/>
    </row>
    <row r="1134" spans="6:8" x14ac:dyDescent="0.25">
      <c r="F1134" s="3"/>
      <c r="H1134" s="1"/>
    </row>
    <row r="1135" spans="6:8" x14ac:dyDescent="0.25">
      <c r="F1135" s="3"/>
      <c r="H1135" s="1"/>
    </row>
    <row r="1136" spans="6:8" x14ac:dyDescent="0.25">
      <c r="F1136" s="3"/>
      <c r="H1136" s="1"/>
    </row>
    <row r="1137" spans="6:8" x14ac:dyDescent="0.25">
      <c r="F1137" s="3"/>
      <c r="H1137" s="1"/>
    </row>
    <row r="1138" spans="6:8" x14ac:dyDescent="0.25">
      <c r="F1138" s="3"/>
      <c r="H1138" s="1"/>
    </row>
    <row r="1139" spans="6:8" x14ac:dyDescent="0.25">
      <c r="F1139" s="3"/>
      <c r="H1139" s="1"/>
    </row>
    <row r="1140" spans="6:8" x14ac:dyDescent="0.25">
      <c r="F1140" s="3"/>
      <c r="H1140" s="1"/>
    </row>
    <row r="1141" spans="6:8" x14ac:dyDescent="0.25">
      <c r="F1141" s="3"/>
      <c r="H1141" s="1"/>
    </row>
    <row r="1142" spans="6:8" x14ac:dyDescent="0.25">
      <c r="F1142" s="3"/>
      <c r="H1142" s="1"/>
    </row>
    <row r="1143" spans="6:8" x14ac:dyDescent="0.25">
      <c r="F1143" s="3"/>
      <c r="H1143" s="1"/>
    </row>
    <row r="1144" spans="6:8" x14ac:dyDescent="0.25">
      <c r="F1144" s="3"/>
      <c r="H1144" s="1"/>
    </row>
    <row r="1145" spans="6:8" x14ac:dyDescent="0.25">
      <c r="F1145" s="3"/>
      <c r="H1145" s="1"/>
    </row>
    <row r="1146" spans="6:8" x14ac:dyDescent="0.25">
      <c r="F1146" s="3"/>
      <c r="H1146" s="1"/>
    </row>
    <row r="1147" spans="6:8" x14ac:dyDescent="0.25">
      <c r="F1147" s="3"/>
      <c r="H1147" s="1"/>
    </row>
    <row r="1148" spans="6:8" x14ac:dyDescent="0.25">
      <c r="F1148" s="3"/>
      <c r="H1148" s="1"/>
    </row>
    <row r="1149" spans="6:8" x14ac:dyDescent="0.25">
      <c r="F1149" s="3"/>
      <c r="H1149" s="1"/>
    </row>
    <row r="1150" spans="6:8" x14ac:dyDescent="0.25">
      <c r="F1150" s="3"/>
      <c r="H1150" s="1"/>
    </row>
    <row r="1151" spans="6:8" x14ac:dyDescent="0.25">
      <c r="F1151" s="3"/>
      <c r="H1151" s="1"/>
    </row>
    <row r="1152" spans="6:8" x14ac:dyDescent="0.25">
      <c r="F1152" s="3"/>
      <c r="H1152" s="1"/>
    </row>
    <row r="1153" spans="6:8" x14ac:dyDescent="0.25">
      <c r="F1153" s="3"/>
      <c r="H1153" s="1"/>
    </row>
    <row r="1154" spans="6:8" x14ac:dyDescent="0.25">
      <c r="F1154" s="3"/>
      <c r="H1154" s="1"/>
    </row>
    <row r="1155" spans="6:8" x14ac:dyDescent="0.25">
      <c r="F1155" s="3"/>
      <c r="H1155" s="1"/>
    </row>
    <row r="1156" spans="6:8" x14ac:dyDescent="0.25">
      <c r="F1156" s="3"/>
      <c r="H1156" s="1"/>
    </row>
    <row r="1157" spans="6:8" x14ac:dyDescent="0.25">
      <c r="F1157" s="3"/>
      <c r="H1157" s="1"/>
    </row>
    <row r="1158" spans="6:8" x14ac:dyDescent="0.25">
      <c r="F1158" s="3"/>
      <c r="H1158" s="1"/>
    </row>
    <row r="1159" spans="6:8" x14ac:dyDescent="0.25">
      <c r="F1159" s="3"/>
      <c r="H1159" s="1"/>
    </row>
    <row r="1160" spans="6:8" x14ac:dyDescent="0.25">
      <c r="F1160" s="3"/>
      <c r="H1160" s="1"/>
    </row>
    <row r="1161" spans="6:8" x14ac:dyDescent="0.25">
      <c r="F1161" s="3"/>
      <c r="H1161" s="1"/>
    </row>
    <row r="1162" spans="6:8" x14ac:dyDescent="0.25">
      <c r="F1162" s="3"/>
      <c r="H1162" s="1"/>
    </row>
    <row r="1163" spans="6:8" x14ac:dyDescent="0.25">
      <c r="F1163" s="3"/>
      <c r="H1163" s="1"/>
    </row>
    <row r="1164" spans="6:8" x14ac:dyDescent="0.25">
      <c r="F1164" s="3"/>
      <c r="H1164" s="1"/>
    </row>
    <row r="1165" spans="6:8" x14ac:dyDescent="0.25">
      <c r="F1165" s="3"/>
      <c r="H1165" s="1"/>
    </row>
    <row r="1166" spans="6:8" x14ac:dyDescent="0.25">
      <c r="F1166" s="3"/>
      <c r="H1166" s="1"/>
    </row>
    <row r="1167" spans="6:8" x14ac:dyDescent="0.25">
      <c r="F1167" s="3"/>
      <c r="H1167" s="1"/>
    </row>
    <row r="1168" spans="6:8" x14ac:dyDescent="0.25">
      <c r="F1168" s="3"/>
      <c r="H1168" s="1"/>
    </row>
    <row r="1169" spans="6:8" x14ac:dyDescent="0.25">
      <c r="F1169" s="3"/>
      <c r="H1169" s="1"/>
    </row>
    <row r="1170" spans="6:8" x14ac:dyDescent="0.25">
      <c r="F1170" s="3"/>
      <c r="H1170" s="1"/>
    </row>
    <row r="1171" spans="6:8" x14ac:dyDescent="0.25">
      <c r="F1171" s="3"/>
      <c r="H1171" s="1"/>
    </row>
    <row r="1172" spans="6:8" x14ac:dyDescent="0.25">
      <c r="F1172" s="3"/>
      <c r="H1172" s="1"/>
    </row>
    <row r="1173" spans="6:8" x14ac:dyDescent="0.25">
      <c r="F1173" s="3"/>
      <c r="H1173" s="1"/>
    </row>
    <row r="1174" spans="6:8" x14ac:dyDescent="0.25">
      <c r="F1174" s="3"/>
      <c r="H1174" s="1"/>
    </row>
    <row r="1175" spans="6:8" x14ac:dyDescent="0.25">
      <c r="F1175" s="3"/>
      <c r="H1175" s="1"/>
    </row>
    <row r="1176" spans="6:8" x14ac:dyDescent="0.25">
      <c r="F1176" s="3"/>
      <c r="H1176" s="1"/>
    </row>
    <row r="1177" spans="6:8" x14ac:dyDescent="0.25">
      <c r="F1177" s="3"/>
      <c r="H1177" s="1"/>
    </row>
    <row r="1178" spans="6:8" x14ac:dyDescent="0.25">
      <c r="F1178" s="3"/>
      <c r="H1178" s="1"/>
    </row>
    <row r="1179" spans="6:8" x14ac:dyDescent="0.25">
      <c r="F1179" s="3"/>
      <c r="H1179" s="1"/>
    </row>
    <row r="1180" spans="6:8" x14ac:dyDescent="0.25">
      <c r="F1180" s="3"/>
      <c r="H1180" s="1"/>
    </row>
    <row r="1181" spans="6:8" x14ac:dyDescent="0.25">
      <c r="F1181" s="3"/>
      <c r="H1181" s="1"/>
    </row>
    <row r="1182" spans="6:8" x14ac:dyDescent="0.25">
      <c r="F1182" s="3"/>
      <c r="H1182" s="1"/>
    </row>
    <row r="1183" spans="6:8" x14ac:dyDescent="0.25">
      <c r="F1183" s="3"/>
      <c r="H1183" s="1"/>
    </row>
    <row r="1184" spans="6:8" x14ac:dyDescent="0.25">
      <c r="F1184" s="3"/>
      <c r="H1184" s="1"/>
    </row>
    <row r="1185" spans="6:8" x14ac:dyDescent="0.25">
      <c r="F1185" s="3"/>
      <c r="H1185" s="1"/>
    </row>
    <row r="1186" spans="6:8" x14ac:dyDescent="0.25">
      <c r="F1186" s="3"/>
      <c r="H1186" s="1"/>
    </row>
    <row r="1187" spans="6:8" x14ac:dyDescent="0.25">
      <c r="F1187" s="3"/>
      <c r="H1187" s="1"/>
    </row>
    <row r="1188" spans="6:8" x14ac:dyDescent="0.25">
      <c r="F1188" s="3"/>
      <c r="H1188" s="1"/>
    </row>
    <row r="1189" spans="6:8" x14ac:dyDescent="0.25">
      <c r="F1189" s="3"/>
      <c r="H1189" s="1"/>
    </row>
    <row r="1190" spans="6:8" x14ac:dyDescent="0.25">
      <c r="F1190" s="3"/>
      <c r="H1190" s="1"/>
    </row>
    <row r="1191" spans="6:8" x14ac:dyDescent="0.25">
      <c r="F1191" s="3"/>
      <c r="H1191" s="1"/>
    </row>
    <row r="1192" spans="6:8" x14ac:dyDescent="0.25">
      <c r="F1192" s="3"/>
      <c r="H1192" s="1"/>
    </row>
    <row r="1193" spans="6:8" x14ac:dyDescent="0.25">
      <c r="F1193" s="3"/>
      <c r="H1193" s="1"/>
    </row>
    <row r="1194" spans="6:8" x14ac:dyDescent="0.25">
      <c r="F1194" s="3"/>
      <c r="H1194" s="1"/>
    </row>
    <row r="1195" spans="6:8" x14ac:dyDescent="0.25">
      <c r="F1195" s="3"/>
      <c r="H1195" s="1"/>
    </row>
    <row r="1196" spans="6:8" x14ac:dyDescent="0.25">
      <c r="F1196" s="3"/>
      <c r="H1196" s="1"/>
    </row>
    <row r="1197" spans="6:8" x14ac:dyDescent="0.25">
      <c r="F1197" s="3"/>
      <c r="H1197" s="1"/>
    </row>
    <row r="1198" spans="6:8" x14ac:dyDescent="0.25">
      <c r="F1198" s="3"/>
      <c r="H1198" s="1"/>
    </row>
    <row r="1199" spans="6:8" x14ac:dyDescent="0.25">
      <c r="F1199" s="3"/>
      <c r="H1199" s="1"/>
    </row>
    <row r="1200" spans="6:8" x14ac:dyDescent="0.25">
      <c r="F1200" s="3"/>
      <c r="H1200" s="1"/>
    </row>
    <row r="1201" spans="6:8" x14ac:dyDescent="0.25">
      <c r="F1201" s="3"/>
      <c r="H1201" s="1"/>
    </row>
    <row r="1202" spans="6:8" x14ac:dyDescent="0.25">
      <c r="F1202" s="3"/>
      <c r="H1202" s="1"/>
    </row>
    <row r="1203" spans="6:8" x14ac:dyDescent="0.25">
      <c r="F1203" s="3"/>
      <c r="H1203" s="1"/>
    </row>
    <row r="1204" spans="6:8" x14ac:dyDescent="0.25">
      <c r="F1204" s="3"/>
      <c r="H1204" s="1"/>
    </row>
    <row r="1205" spans="6:8" x14ac:dyDescent="0.25">
      <c r="F1205" s="3"/>
      <c r="H1205" s="1"/>
    </row>
    <row r="1206" spans="6:8" x14ac:dyDescent="0.25">
      <c r="F1206" s="3"/>
      <c r="H1206" s="1"/>
    </row>
    <row r="1207" spans="6:8" x14ac:dyDescent="0.25">
      <c r="F1207" s="3"/>
      <c r="H1207" s="1"/>
    </row>
    <row r="1208" spans="6:8" x14ac:dyDescent="0.25">
      <c r="F1208" s="3"/>
      <c r="H1208" s="1"/>
    </row>
    <row r="1209" spans="6:8" x14ac:dyDescent="0.25">
      <c r="F1209" s="3"/>
      <c r="H1209" s="1"/>
    </row>
    <row r="1210" spans="6:8" x14ac:dyDescent="0.25">
      <c r="F1210" s="3"/>
      <c r="H1210" s="1"/>
    </row>
    <row r="1211" spans="6:8" x14ac:dyDescent="0.25">
      <c r="F1211" s="3"/>
      <c r="H1211" s="1"/>
    </row>
    <row r="1212" spans="6:8" x14ac:dyDescent="0.25">
      <c r="F1212" s="3"/>
      <c r="H1212" s="1"/>
    </row>
    <row r="1213" spans="6:8" x14ac:dyDescent="0.25">
      <c r="F1213" s="3"/>
      <c r="H1213" s="1"/>
    </row>
    <row r="1214" spans="6:8" x14ac:dyDescent="0.25">
      <c r="F1214" s="3"/>
      <c r="H1214" s="1"/>
    </row>
    <row r="1215" spans="6:8" x14ac:dyDescent="0.25">
      <c r="F1215" s="3"/>
      <c r="H1215" s="1"/>
    </row>
    <row r="1216" spans="6:8" x14ac:dyDescent="0.25">
      <c r="F1216" s="3"/>
      <c r="H1216" s="1"/>
    </row>
    <row r="1217" spans="6:8" x14ac:dyDescent="0.25">
      <c r="F1217" s="3"/>
      <c r="H1217" s="1"/>
    </row>
    <row r="1218" spans="6:8" x14ac:dyDescent="0.25">
      <c r="F1218" s="3"/>
      <c r="H1218" s="1"/>
    </row>
    <row r="1219" spans="6:8" x14ac:dyDescent="0.25">
      <c r="F1219" s="3"/>
      <c r="H1219" s="1"/>
    </row>
    <row r="1220" spans="6:8" x14ac:dyDescent="0.25">
      <c r="F1220" s="3"/>
      <c r="H1220" s="1"/>
    </row>
    <row r="1221" spans="6:8" x14ac:dyDescent="0.25">
      <c r="F1221" s="3"/>
      <c r="H1221" s="1"/>
    </row>
    <row r="1222" spans="6:8" x14ac:dyDescent="0.25">
      <c r="F1222" s="3"/>
      <c r="H1222" s="1"/>
    </row>
    <row r="1223" spans="6:8" x14ac:dyDescent="0.25">
      <c r="F1223" s="3"/>
      <c r="H1223" s="1"/>
    </row>
    <row r="1224" spans="6:8" x14ac:dyDescent="0.25">
      <c r="F1224" s="3"/>
      <c r="H1224" s="1"/>
    </row>
    <row r="1225" spans="6:8" x14ac:dyDescent="0.25">
      <c r="F1225" s="3"/>
      <c r="H1225" s="1"/>
    </row>
    <row r="1226" spans="6:8" x14ac:dyDescent="0.25">
      <c r="F1226" s="3"/>
      <c r="H1226" s="1"/>
    </row>
    <row r="1227" spans="6:8" x14ac:dyDescent="0.25">
      <c r="F1227" s="3"/>
      <c r="H1227" s="1"/>
    </row>
    <row r="1228" spans="6:8" x14ac:dyDescent="0.25">
      <c r="F1228" s="3"/>
      <c r="H1228" s="1"/>
    </row>
    <row r="1229" spans="6:8" x14ac:dyDescent="0.25">
      <c r="F1229" s="3"/>
      <c r="H1229" s="1"/>
    </row>
    <row r="1230" spans="6:8" x14ac:dyDescent="0.25">
      <c r="F1230" s="3"/>
      <c r="H1230" s="1"/>
    </row>
    <row r="1231" spans="6:8" x14ac:dyDescent="0.25">
      <c r="F1231" s="3"/>
      <c r="H1231" s="1"/>
    </row>
    <row r="1232" spans="6:8" x14ac:dyDescent="0.25">
      <c r="F1232" s="3"/>
      <c r="H1232" s="1"/>
    </row>
    <row r="1233" spans="6:8" x14ac:dyDescent="0.25">
      <c r="F1233" s="3"/>
      <c r="H1233" s="1"/>
    </row>
    <row r="1234" spans="6:8" x14ac:dyDescent="0.25">
      <c r="F1234" s="3"/>
      <c r="H1234" s="1"/>
    </row>
    <row r="1235" spans="6:8" x14ac:dyDescent="0.25">
      <c r="F1235" s="3"/>
      <c r="H1235" s="1"/>
    </row>
    <row r="1236" spans="6:8" x14ac:dyDescent="0.25">
      <c r="F1236" s="3"/>
      <c r="H1236" s="1"/>
    </row>
    <row r="1237" spans="6:8" x14ac:dyDescent="0.25">
      <c r="F1237" s="3"/>
      <c r="H1237" s="1"/>
    </row>
    <row r="1238" spans="6:8" x14ac:dyDescent="0.25">
      <c r="F1238" s="3"/>
      <c r="H1238" s="1"/>
    </row>
    <row r="1239" spans="6:8" x14ac:dyDescent="0.25">
      <c r="F1239" s="3"/>
      <c r="H1239" s="1"/>
    </row>
    <row r="1240" spans="6:8" x14ac:dyDescent="0.25">
      <c r="F1240" s="3"/>
      <c r="H1240" s="1"/>
    </row>
    <row r="1241" spans="6:8" x14ac:dyDescent="0.25">
      <c r="F1241" s="3"/>
      <c r="H1241" s="1"/>
    </row>
    <row r="1242" spans="6:8" x14ac:dyDescent="0.25">
      <c r="F1242" s="3"/>
      <c r="H1242" s="1"/>
    </row>
    <row r="1243" spans="6:8" x14ac:dyDescent="0.25">
      <c r="F1243" s="3"/>
      <c r="H1243" s="1"/>
    </row>
    <row r="1244" spans="6:8" x14ac:dyDescent="0.25">
      <c r="F1244" s="3"/>
      <c r="H1244" s="1"/>
    </row>
    <row r="1245" spans="6:8" x14ac:dyDescent="0.25">
      <c r="F1245" s="3"/>
      <c r="H1245" s="1"/>
    </row>
    <row r="1246" spans="6:8" x14ac:dyDescent="0.25">
      <c r="F1246" s="3"/>
      <c r="H1246" s="1"/>
    </row>
    <row r="1247" spans="6:8" x14ac:dyDescent="0.25">
      <c r="F1247" s="3"/>
      <c r="H1247" s="1"/>
    </row>
    <row r="1248" spans="6:8" x14ac:dyDescent="0.25">
      <c r="F1248" s="3"/>
      <c r="H1248" s="1"/>
    </row>
    <row r="1249" spans="6:8" x14ac:dyDescent="0.25">
      <c r="F1249" s="3"/>
      <c r="H1249" s="1"/>
    </row>
    <row r="1250" spans="6:8" x14ac:dyDescent="0.25">
      <c r="F1250" s="3"/>
      <c r="H1250" s="1"/>
    </row>
    <row r="1251" spans="6:8" x14ac:dyDescent="0.25">
      <c r="F1251" s="3"/>
      <c r="H1251" s="1"/>
    </row>
    <row r="1252" spans="6:8" x14ac:dyDescent="0.25">
      <c r="F1252" s="3"/>
      <c r="H1252" s="1"/>
    </row>
    <row r="1253" spans="6:8" x14ac:dyDescent="0.25">
      <c r="F1253" s="3"/>
      <c r="H1253" s="1"/>
    </row>
    <row r="1254" spans="6:8" x14ac:dyDescent="0.25">
      <c r="F1254" s="3"/>
      <c r="H1254" s="1"/>
    </row>
    <row r="1255" spans="6:8" x14ac:dyDescent="0.25">
      <c r="F1255" s="3"/>
      <c r="H1255" s="1"/>
    </row>
    <row r="1256" spans="6:8" x14ac:dyDescent="0.25">
      <c r="F1256" s="3"/>
      <c r="H1256" s="1"/>
    </row>
    <row r="1257" spans="6:8" x14ac:dyDescent="0.25">
      <c r="F1257" s="3"/>
      <c r="H1257" s="1"/>
    </row>
    <row r="1258" spans="6:8" x14ac:dyDescent="0.25">
      <c r="F1258" s="3"/>
      <c r="H1258" s="1"/>
    </row>
    <row r="1259" spans="6:8" x14ac:dyDescent="0.25">
      <c r="F1259" s="3"/>
      <c r="H1259" s="1"/>
    </row>
    <row r="1260" spans="6:8" x14ac:dyDescent="0.25">
      <c r="F1260" s="3"/>
      <c r="H1260" s="1"/>
    </row>
    <row r="1261" spans="6:8" x14ac:dyDescent="0.25">
      <c r="F1261" s="3"/>
      <c r="H1261" s="1"/>
    </row>
    <row r="1262" spans="6:8" x14ac:dyDescent="0.25">
      <c r="F1262" s="3"/>
      <c r="H1262" s="1"/>
    </row>
    <row r="1263" spans="6:8" x14ac:dyDescent="0.25">
      <c r="F1263" s="3"/>
      <c r="H1263" s="1"/>
    </row>
    <row r="1264" spans="6:8" x14ac:dyDescent="0.25">
      <c r="F1264" s="3"/>
      <c r="H1264" s="1"/>
    </row>
    <row r="1265" spans="6:8" x14ac:dyDescent="0.25">
      <c r="F1265" s="3"/>
      <c r="H1265" s="1"/>
    </row>
    <row r="1266" spans="6:8" x14ac:dyDescent="0.25">
      <c r="F1266" s="3"/>
      <c r="H1266" s="1"/>
    </row>
    <row r="1267" spans="6:8" x14ac:dyDescent="0.25">
      <c r="F1267" s="3"/>
      <c r="H1267" s="1"/>
    </row>
    <row r="1268" spans="6:8" x14ac:dyDescent="0.25">
      <c r="F1268" s="3"/>
      <c r="H1268" s="1"/>
    </row>
    <row r="1269" spans="6:8" x14ac:dyDescent="0.25">
      <c r="F1269" s="3"/>
      <c r="H1269" s="1"/>
    </row>
    <row r="1270" spans="6:8" x14ac:dyDescent="0.25">
      <c r="F1270" s="3"/>
      <c r="H1270" s="1"/>
    </row>
    <row r="1271" spans="6:8" x14ac:dyDescent="0.25">
      <c r="F1271" s="3"/>
      <c r="H1271" s="1"/>
    </row>
    <row r="1272" spans="6:8" x14ac:dyDescent="0.25">
      <c r="F1272" s="3"/>
      <c r="H1272" s="1"/>
    </row>
    <row r="1273" spans="6:8" x14ac:dyDescent="0.25">
      <c r="F1273" s="3"/>
      <c r="H1273" s="1"/>
    </row>
    <row r="1274" spans="6:8" x14ac:dyDescent="0.25">
      <c r="F1274" s="3"/>
      <c r="H1274" s="1"/>
    </row>
    <row r="1275" spans="6:8" x14ac:dyDescent="0.25">
      <c r="F1275" s="3"/>
      <c r="H1275" s="1"/>
    </row>
    <row r="1276" spans="6:8" x14ac:dyDescent="0.25">
      <c r="F1276" s="3"/>
      <c r="H1276" s="1"/>
    </row>
    <row r="1277" spans="6:8" x14ac:dyDescent="0.25">
      <c r="F1277" s="3"/>
      <c r="H1277" s="1"/>
    </row>
    <row r="1278" spans="6:8" x14ac:dyDescent="0.25">
      <c r="F1278" s="3"/>
      <c r="H1278" s="1"/>
    </row>
    <row r="1279" spans="6:8" x14ac:dyDescent="0.25">
      <c r="F1279" s="3"/>
      <c r="H1279" s="1"/>
    </row>
    <row r="1280" spans="6:8" x14ac:dyDescent="0.25">
      <c r="F1280" s="3"/>
      <c r="H1280" s="1"/>
    </row>
    <row r="1281" spans="6:8" x14ac:dyDescent="0.25">
      <c r="F1281" s="3"/>
      <c r="H1281" s="1"/>
    </row>
    <row r="1282" spans="6:8" x14ac:dyDescent="0.25">
      <c r="F1282" s="3"/>
      <c r="H1282" s="1"/>
    </row>
    <row r="1283" spans="6:8" x14ac:dyDescent="0.25">
      <c r="F1283" s="3"/>
      <c r="H1283" s="1"/>
    </row>
    <row r="1284" spans="6:8" x14ac:dyDescent="0.25">
      <c r="F1284" s="3"/>
      <c r="H1284" s="1"/>
    </row>
    <row r="1285" spans="6:8" x14ac:dyDescent="0.25">
      <c r="F1285" s="3"/>
      <c r="H1285" s="1"/>
    </row>
    <row r="1286" spans="6:8" x14ac:dyDescent="0.25">
      <c r="F1286" s="3"/>
      <c r="H1286" s="1"/>
    </row>
    <row r="1287" spans="6:8" x14ac:dyDescent="0.25">
      <c r="F1287" s="3"/>
      <c r="H1287" s="1"/>
    </row>
    <row r="1288" spans="6:8" x14ac:dyDescent="0.25">
      <c r="F1288" s="3"/>
      <c r="H1288" s="1"/>
    </row>
    <row r="1289" spans="6:8" x14ac:dyDescent="0.25">
      <c r="F1289" s="3"/>
      <c r="H1289" s="1"/>
    </row>
    <row r="1290" spans="6:8" x14ac:dyDescent="0.25">
      <c r="F1290" s="3"/>
      <c r="H1290" s="1"/>
    </row>
    <row r="1291" spans="6:8" x14ac:dyDescent="0.25">
      <c r="F1291" s="3"/>
      <c r="H1291" s="1"/>
    </row>
    <row r="1292" spans="6:8" x14ac:dyDescent="0.25">
      <c r="F1292" s="3"/>
      <c r="H1292" s="1"/>
    </row>
    <row r="1293" spans="6:8" x14ac:dyDescent="0.25">
      <c r="F1293" s="3"/>
      <c r="H1293" s="1"/>
    </row>
    <row r="1294" spans="6:8" x14ac:dyDescent="0.25">
      <c r="F1294" s="3"/>
      <c r="H1294" s="1"/>
    </row>
    <row r="1295" spans="6:8" x14ac:dyDescent="0.25">
      <c r="F1295" s="3"/>
      <c r="H1295" s="1"/>
    </row>
    <row r="1296" spans="6:8" x14ac:dyDescent="0.25">
      <c r="F1296" s="3"/>
      <c r="H1296" s="1"/>
    </row>
    <row r="1297" spans="6:8" x14ac:dyDescent="0.25">
      <c r="F1297" s="3"/>
      <c r="H1297" s="1"/>
    </row>
    <row r="1298" spans="6:8" x14ac:dyDescent="0.25">
      <c r="F1298" s="3"/>
      <c r="H1298" s="1"/>
    </row>
    <row r="1299" spans="6:8" x14ac:dyDescent="0.25">
      <c r="F1299" s="3"/>
      <c r="H1299" s="1"/>
    </row>
    <row r="1300" spans="6:8" x14ac:dyDescent="0.25">
      <c r="F1300" s="3"/>
      <c r="H1300" s="1"/>
    </row>
    <row r="1301" spans="6:8" x14ac:dyDescent="0.25">
      <c r="F1301" s="3"/>
      <c r="H1301" s="1"/>
    </row>
    <row r="1302" spans="6:8" x14ac:dyDescent="0.25">
      <c r="F1302" s="3"/>
      <c r="H1302" s="1"/>
    </row>
    <row r="1303" spans="6:8" x14ac:dyDescent="0.25">
      <c r="F1303" s="3"/>
      <c r="H1303" s="1"/>
    </row>
    <row r="1304" spans="6:8" x14ac:dyDescent="0.25">
      <c r="F1304" s="3"/>
      <c r="H1304" s="1"/>
    </row>
    <row r="1305" spans="6:8" x14ac:dyDescent="0.25">
      <c r="F1305" s="3"/>
      <c r="H1305" s="1"/>
    </row>
    <row r="1306" spans="6:8" x14ac:dyDescent="0.25">
      <c r="F1306" s="3"/>
      <c r="H1306" s="1"/>
    </row>
    <row r="1307" spans="6:8" x14ac:dyDescent="0.25">
      <c r="F1307" s="3"/>
      <c r="H1307" s="1"/>
    </row>
    <row r="1308" spans="6:8" x14ac:dyDescent="0.25">
      <c r="F1308" s="3"/>
      <c r="H1308" s="1"/>
    </row>
    <row r="1309" spans="6:8" x14ac:dyDescent="0.25">
      <c r="F1309" s="3"/>
      <c r="H1309" s="1"/>
    </row>
    <row r="1310" spans="6:8" x14ac:dyDescent="0.25">
      <c r="F1310" s="3"/>
      <c r="H1310" s="1"/>
    </row>
    <row r="1311" spans="6:8" x14ac:dyDescent="0.25">
      <c r="F1311" s="3"/>
      <c r="H1311" s="1"/>
    </row>
    <row r="1312" spans="6:8" x14ac:dyDescent="0.25">
      <c r="F1312" s="3"/>
      <c r="H1312" s="1"/>
    </row>
    <row r="1313" spans="6:8" x14ac:dyDescent="0.25">
      <c r="F1313" s="3"/>
      <c r="H1313" s="1"/>
    </row>
    <row r="1314" spans="6:8" x14ac:dyDescent="0.25">
      <c r="F1314" s="3"/>
      <c r="H1314" s="1"/>
    </row>
    <row r="1315" spans="6:8" x14ac:dyDescent="0.25">
      <c r="F1315" s="3"/>
      <c r="H1315" s="1"/>
    </row>
    <row r="1316" spans="6:8" x14ac:dyDescent="0.25">
      <c r="F1316" s="3"/>
      <c r="H1316" s="1"/>
    </row>
    <row r="1317" spans="6:8" x14ac:dyDescent="0.25">
      <c r="F1317" s="3"/>
      <c r="H1317" s="1"/>
    </row>
    <row r="1318" spans="6:8" x14ac:dyDescent="0.25">
      <c r="F1318" s="3"/>
      <c r="H1318" s="1"/>
    </row>
    <row r="1319" spans="6:8" x14ac:dyDescent="0.25">
      <c r="F1319" s="3"/>
      <c r="H1319" s="1"/>
    </row>
    <row r="1320" spans="6:8" x14ac:dyDescent="0.25">
      <c r="F1320" s="3"/>
      <c r="H1320" s="1"/>
    </row>
    <row r="1321" spans="6:8" x14ac:dyDescent="0.25">
      <c r="F1321" s="3"/>
      <c r="H1321" s="1"/>
    </row>
    <row r="1322" spans="6:8" x14ac:dyDescent="0.25">
      <c r="F1322" s="3"/>
      <c r="H1322" s="1"/>
    </row>
    <row r="1323" spans="6:8" x14ac:dyDescent="0.25">
      <c r="F1323" s="3"/>
      <c r="H1323" s="1"/>
    </row>
    <row r="1324" spans="6:8" x14ac:dyDescent="0.25">
      <c r="F1324" s="3"/>
      <c r="H1324" s="1"/>
    </row>
    <row r="1325" spans="6:8" x14ac:dyDescent="0.25">
      <c r="F1325" s="3"/>
      <c r="H1325" s="1"/>
    </row>
    <row r="1326" spans="6:8" x14ac:dyDescent="0.25">
      <c r="F1326" s="3"/>
      <c r="H1326" s="1"/>
    </row>
    <row r="1327" spans="6:8" x14ac:dyDescent="0.25">
      <c r="F1327" s="3"/>
      <c r="H1327" s="1"/>
    </row>
    <row r="1328" spans="6:8" x14ac:dyDescent="0.25">
      <c r="F1328" s="3"/>
      <c r="H1328" s="1"/>
    </row>
    <row r="1329" spans="6:8" x14ac:dyDescent="0.25">
      <c r="F1329" s="3"/>
      <c r="H1329" s="1"/>
    </row>
    <row r="1330" spans="6:8" x14ac:dyDescent="0.25">
      <c r="F1330" s="3"/>
      <c r="H1330" s="1"/>
    </row>
    <row r="1331" spans="6:8" x14ac:dyDescent="0.25">
      <c r="F1331" s="3"/>
      <c r="H1331" s="1"/>
    </row>
    <row r="1332" spans="6:8" x14ac:dyDescent="0.25">
      <c r="F1332" s="3"/>
      <c r="H1332" s="1"/>
    </row>
    <row r="1333" spans="6:8" x14ac:dyDescent="0.25">
      <c r="F1333" s="3"/>
      <c r="H1333" s="1"/>
    </row>
    <row r="1334" spans="6:8" x14ac:dyDescent="0.25">
      <c r="F1334" s="3"/>
      <c r="H1334" s="1"/>
    </row>
    <row r="1335" spans="6:8" x14ac:dyDescent="0.25">
      <c r="F1335" s="3"/>
      <c r="H1335" s="1"/>
    </row>
    <row r="1336" spans="6:8" x14ac:dyDescent="0.25">
      <c r="F1336" s="3"/>
      <c r="H1336" s="1"/>
    </row>
    <row r="1337" spans="6:8" x14ac:dyDescent="0.25">
      <c r="F1337" s="3"/>
      <c r="H1337" s="1"/>
    </row>
    <row r="1338" spans="6:8" x14ac:dyDescent="0.25">
      <c r="F1338" s="3"/>
      <c r="H1338" s="1"/>
    </row>
    <row r="1339" spans="6:8" x14ac:dyDescent="0.25">
      <c r="F1339" s="3"/>
      <c r="H1339" s="1"/>
    </row>
    <row r="1340" spans="6:8" x14ac:dyDescent="0.25">
      <c r="F1340" s="3"/>
      <c r="H1340" s="1"/>
    </row>
    <row r="1341" spans="6:8" x14ac:dyDescent="0.25">
      <c r="F1341" s="3"/>
      <c r="H1341" s="1"/>
    </row>
    <row r="1342" spans="6:8" x14ac:dyDescent="0.25">
      <c r="F1342" s="3"/>
      <c r="H1342" s="1"/>
    </row>
    <row r="1343" spans="6:8" x14ac:dyDescent="0.25">
      <c r="F1343" s="3"/>
      <c r="H1343" s="1"/>
    </row>
    <row r="1344" spans="6:8" x14ac:dyDescent="0.25">
      <c r="F1344" s="3"/>
      <c r="H1344" s="1"/>
    </row>
    <row r="1345" spans="6:8" x14ac:dyDescent="0.25">
      <c r="F1345" s="3"/>
      <c r="H1345" s="1"/>
    </row>
    <row r="1346" spans="6:8" x14ac:dyDescent="0.25">
      <c r="F1346" s="3"/>
      <c r="H1346" s="1"/>
    </row>
    <row r="1347" spans="6:8" x14ac:dyDescent="0.25">
      <c r="F1347" s="3"/>
      <c r="H1347" s="1"/>
    </row>
    <row r="1348" spans="6:8" x14ac:dyDescent="0.25">
      <c r="F1348" s="3"/>
      <c r="H1348" s="1"/>
    </row>
    <row r="1349" spans="6:8" x14ac:dyDescent="0.25">
      <c r="F1349" s="3"/>
      <c r="H1349" s="1"/>
    </row>
    <row r="1350" spans="6:8" x14ac:dyDescent="0.25">
      <c r="F1350" s="3"/>
      <c r="H1350" s="1"/>
    </row>
    <row r="1351" spans="6:8" x14ac:dyDescent="0.25">
      <c r="F1351" s="3"/>
      <c r="H1351" s="1"/>
    </row>
    <row r="1352" spans="6:8" x14ac:dyDescent="0.25">
      <c r="F1352" s="3"/>
      <c r="H1352" s="1"/>
    </row>
    <row r="1353" spans="6:8" x14ac:dyDescent="0.25">
      <c r="F1353" s="3"/>
      <c r="H1353" s="1"/>
    </row>
    <row r="1354" spans="6:8" x14ac:dyDescent="0.25">
      <c r="F1354" s="3"/>
      <c r="H1354" s="1"/>
    </row>
    <row r="1355" spans="6:8" x14ac:dyDescent="0.25">
      <c r="F1355" s="3"/>
      <c r="H1355" s="1"/>
    </row>
    <row r="1356" spans="6:8" x14ac:dyDescent="0.25">
      <c r="F1356" s="3"/>
      <c r="H1356" s="1"/>
    </row>
    <row r="1357" spans="6:8" x14ac:dyDescent="0.25">
      <c r="F1357" s="3"/>
      <c r="H1357" s="1"/>
    </row>
    <row r="1358" spans="6:8" x14ac:dyDescent="0.25">
      <c r="F1358" s="3"/>
      <c r="H1358" s="1"/>
    </row>
    <row r="1359" spans="6:8" x14ac:dyDescent="0.25">
      <c r="F1359" s="3"/>
      <c r="H1359" s="1"/>
    </row>
    <row r="1360" spans="6:8" x14ac:dyDescent="0.25">
      <c r="F1360" s="3"/>
      <c r="H1360" s="1"/>
    </row>
    <row r="1361" spans="6:8" x14ac:dyDescent="0.25">
      <c r="F1361" s="3"/>
      <c r="H1361" s="1"/>
    </row>
    <row r="1362" spans="6:8" x14ac:dyDescent="0.25">
      <c r="F1362" s="3"/>
      <c r="H1362" s="1"/>
    </row>
    <row r="1363" spans="6:8" x14ac:dyDescent="0.25">
      <c r="F1363" s="3"/>
      <c r="H1363" s="1"/>
    </row>
    <row r="1364" spans="6:8" x14ac:dyDescent="0.25">
      <c r="F1364" s="3"/>
      <c r="H1364" s="1"/>
    </row>
    <row r="1365" spans="6:8" x14ac:dyDescent="0.25">
      <c r="F1365" s="3"/>
      <c r="H1365" s="1"/>
    </row>
    <row r="1366" spans="6:8" x14ac:dyDescent="0.25">
      <c r="F1366" s="3"/>
      <c r="H1366" s="1"/>
    </row>
    <row r="1367" spans="6:8" x14ac:dyDescent="0.25">
      <c r="F1367" s="3"/>
      <c r="H1367" s="1"/>
    </row>
    <row r="1368" spans="6:8" x14ac:dyDescent="0.25">
      <c r="F1368" s="3"/>
      <c r="H1368" s="1"/>
    </row>
    <row r="1369" spans="6:8" x14ac:dyDescent="0.25">
      <c r="F1369" s="3"/>
      <c r="H1369" s="1"/>
    </row>
    <row r="1370" spans="6:8" x14ac:dyDescent="0.25">
      <c r="F1370" s="3"/>
      <c r="H1370" s="1"/>
    </row>
    <row r="1371" spans="6:8" x14ac:dyDescent="0.25">
      <c r="F1371" s="3"/>
      <c r="H1371" s="1"/>
    </row>
    <row r="1372" spans="6:8" x14ac:dyDescent="0.25">
      <c r="F1372" s="3"/>
      <c r="H1372" s="1"/>
    </row>
    <row r="1373" spans="6:8" x14ac:dyDescent="0.25">
      <c r="F1373" s="3"/>
      <c r="H1373" s="1"/>
    </row>
    <row r="1374" spans="6:8" x14ac:dyDescent="0.25">
      <c r="F1374" s="3"/>
      <c r="H1374" s="1"/>
    </row>
    <row r="1375" spans="6:8" x14ac:dyDescent="0.25">
      <c r="F1375" s="3"/>
      <c r="H1375" s="1"/>
    </row>
    <row r="1376" spans="6:8" x14ac:dyDescent="0.25">
      <c r="F1376" s="3"/>
      <c r="H1376" s="1"/>
    </row>
    <row r="1377" spans="6:8" x14ac:dyDescent="0.25">
      <c r="F1377" s="3"/>
      <c r="H1377" s="1"/>
    </row>
    <row r="1378" spans="6:8" x14ac:dyDescent="0.25">
      <c r="F1378" s="3"/>
      <c r="H1378" s="1"/>
    </row>
    <row r="1379" spans="6:8" x14ac:dyDescent="0.25">
      <c r="F1379" s="3"/>
      <c r="H1379" s="1"/>
    </row>
    <row r="1380" spans="6:8" x14ac:dyDescent="0.25">
      <c r="F1380" s="3"/>
      <c r="H1380" s="1"/>
    </row>
    <row r="1381" spans="6:8" x14ac:dyDescent="0.25">
      <c r="F1381" s="3"/>
      <c r="H1381" s="1"/>
    </row>
    <row r="1382" spans="6:8" x14ac:dyDescent="0.25">
      <c r="F1382" s="3"/>
      <c r="H1382" s="1"/>
    </row>
    <row r="1383" spans="6:8" x14ac:dyDescent="0.25">
      <c r="F1383" s="3"/>
      <c r="H1383" s="1"/>
    </row>
    <row r="1384" spans="6:8" x14ac:dyDescent="0.25">
      <c r="F1384" s="3"/>
      <c r="H1384" s="1"/>
    </row>
    <row r="1385" spans="6:8" x14ac:dyDescent="0.25">
      <c r="F1385" s="3"/>
      <c r="H1385" s="1"/>
    </row>
    <row r="1386" spans="6:8" x14ac:dyDescent="0.25">
      <c r="F1386" s="3"/>
      <c r="H1386" s="1"/>
    </row>
    <row r="1387" spans="6:8" x14ac:dyDescent="0.25">
      <c r="F1387" s="3"/>
      <c r="H1387" s="1"/>
    </row>
    <row r="1388" spans="6:8" x14ac:dyDescent="0.25">
      <c r="F1388" s="3"/>
      <c r="H1388" s="1"/>
    </row>
    <row r="1389" spans="6:8" x14ac:dyDescent="0.25">
      <c r="F1389" s="3"/>
      <c r="H1389" s="1"/>
    </row>
    <row r="1390" spans="6:8" x14ac:dyDescent="0.25">
      <c r="F1390" s="3"/>
      <c r="H1390" s="1"/>
    </row>
    <row r="1391" spans="6:8" x14ac:dyDescent="0.25">
      <c r="F1391" s="3"/>
      <c r="H1391" s="1"/>
    </row>
    <row r="1392" spans="6:8" x14ac:dyDescent="0.25">
      <c r="F1392" s="3"/>
      <c r="H1392" s="1"/>
    </row>
    <row r="1393" spans="6:8" x14ac:dyDescent="0.25">
      <c r="F1393" s="3"/>
      <c r="H1393" s="1"/>
    </row>
    <row r="1394" spans="6:8" x14ac:dyDescent="0.25">
      <c r="F1394" s="3"/>
      <c r="H1394" s="1"/>
    </row>
    <row r="1395" spans="6:8" x14ac:dyDescent="0.25">
      <c r="F1395" s="3"/>
      <c r="H1395" s="1"/>
    </row>
    <row r="1396" spans="6:8" x14ac:dyDescent="0.25">
      <c r="F1396" s="3"/>
      <c r="H1396" s="1"/>
    </row>
    <row r="1397" spans="6:8" x14ac:dyDescent="0.25">
      <c r="F1397" s="3"/>
      <c r="H1397" s="1"/>
    </row>
    <row r="1398" spans="6:8" x14ac:dyDescent="0.25">
      <c r="F1398" s="3"/>
      <c r="H1398" s="1"/>
    </row>
    <row r="1399" spans="6:8" x14ac:dyDescent="0.25">
      <c r="F1399" s="3"/>
      <c r="H1399" s="1"/>
    </row>
    <row r="1400" spans="6:8" x14ac:dyDescent="0.25">
      <c r="F1400" s="3"/>
      <c r="H1400" s="1"/>
    </row>
    <row r="1401" spans="6:8" x14ac:dyDescent="0.25">
      <c r="F1401" s="3"/>
      <c r="H1401" s="1"/>
    </row>
    <row r="1402" spans="6:8" x14ac:dyDescent="0.25">
      <c r="F1402" s="3"/>
      <c r="H1402" s="1"/>
    </row>
    <row r="1403" spans="6:8" x14ac:dyDescent="0.25">
      <c r="F1403" s="3"/>
      <c r="H1403" s="1"/>
    </row>
    <row r="1404" spans="6:8" x14ac:dyDescent="0.25">
      <c r="F1404" s="3"/>
      <c r="H1404" s="1"/>
    </row>
    <row r="1405" spans="6:8" x14ac:dyDescent="0.25">
      <c r="F1405" s="3"/>
      <c r="H1405" s="1"/>
    </row>
    <row r="1406" spans="6:8" x14ac:dyDescent="0.25">
      <c r="F1406" s="3"/>
      <c r="H1406" s="1"/>
    </row>
    <row r="1407" spans="6:8" x14ac:dyDescent="0.25">
      <c r="F1407" s="3"/>
      <c r="H1407" s="1"/>
    </row>
    <row r="1408" spans="6:8" x14ac:dyDescent="0.25">
      <c r="F1408" s="3"/>
      <c r="H1408" s="1"/>
    </row>
    <row r="1409" spans="6:8" x14ac:dyDescent="0.25">
      <c r="F1409" s="3"/>
      <c r="H1409" s="1"/>
    </row>
    <row r="1410" spans="6:8" x14ac:dyDescent="0.25">
      <c r="F1410" s="3"/>
      <c r="H1410" s="1"/>
    </row>
    <row r="1411" spans="6:8" x14ac:dyDescent="0.25">
      <c r="F1411" s="3"/>
      <c r="H1411" s="1"/>
    </row>
    <row r="1412" spans="6:8" x14ac:dyDescent="0.25">
      <c r="F1412" s="3"/>
      <c r="H1412" s="1"/>
    </row>
    <row r="1413" spans="6:8" x14ac:dyDescent="0.25">
      <c r="F1413" s="3"/>
      <c r="H1413" s="1"/>
    </row>
    <row r="1414" spans="6:8" x14ac:dyDescent="0.25">
      <c r="F1414" s="3"/>
      <c r="H1414" s="1"/>
    </row>
    <row r="1415" spans="6:8" x14ac:dyDescent="0.25">
      <c r="F1415" s="3"/>
      <c r="H1415" s="1"/>
    </row>
    <row r="1416" spans="6:8" x14ac:dyDescent="0.25">
      <c r="F1416" s="3"/>
      <c r="H1416" s="1"/>
    </row>
    <row r="1417" spans="6:8" x14ac:dyDescent="0.25">
      <c r="F1417" s="3"/>
      <c r="H1417" s="1"/>
    </row>
    <row r="1418" spans="6:8" x14ac:dyDescent="0.25">
      <c r="F1418" s="3"/>
      <c r="H1418" s="1"/>
    </row>
    <row r="1419" spans="6:8" x14ac:dyDescent="0.25">
      <c r="F1419" s="3"/>
      <c r="H1419" s="1"/>
    </row>
    <row r="1420" spans="6:8" x14ac:dyDescent="0.25">
      <c r="F1420" s="3"/>
      <c r="H1420" s="1"/>
    </row>
    <row r="1421" spans="6:8" x14ac:dyDescent="0.25">
      <c r="F1421" s="3"/>
      <c r="H1421" s="1"/>
    </row>
    <row r="1422" spans="6:8" x14ac:dyDescent="0.25">
      <c r="F1422" s="3"/>
      <c r="H1422" s="1"/>
    </row>
    <row r="1423" spans="6:8" x14ac:dyDescent="0.25">
      <c r="F1423" s="3"/>
      <c r="H1423" s="1"/>
    </row>
    <row r="1424" spans="6:8" x14ac:dyDescent="0.25">
      <c r="F1424" s="3"/>
      <c r="H1424" s="1"/>
    </row>
    <row r="1425" spans="6:8" x14ac:dyDescent="0.25">
      <c r="F1425" s="3"/>
      <c r="H1425" s="1"/>
    </row>
    <row r="1426" spans="6:8" x14ac:dyDescent="0.25">
      <c r="F1426" s="3"/>
      <c r="H1426" s="1"/>
    </row>
    <row r="1427" spans="6:8" x14ac:dyDescent="0.25">
      <c r="F1427" s="3"/>
      <c r="H1427" s="1"/>
    </row>
    <row r="1428" spans="6:8" x14ac:dyDescent="0.25">
      <c r="F1428" s="3"/>
      <c r="H1428" s="1"/>
    </row>
    <row r="1429" spans="6:8" x14ac:dyDescent="0.25">
      <c r="F1429" s="3"/>
      <c r="H1429" s="1"/>
    </row>
    <row r="1430" spans="6:8" x14ac:dyDescent="0.25">
      <c r="F1430" s="3"/>
      <c r="H1430" s="1"/>
    </row>
    <row r="1431" spans="6:8" x14ac:dyDescent="0.25">
      <c r="F1431" s="3"/>
      <c r="H1431" s="1"/>
    </row>
    <row r="1432" spans="6:8" x14ac:dyDescent="0.25">
      <c r="F1432" s="3"/>
      <c r="H1432" s="1"/>
    </row>
    <row r="1433" spans="6:8" x14ac:dyDescent="0.25">
      <c r="F1433" s="3"/>
      <c r="H1433" s="1"/>
    </row>
    <row r="1434" spans="6:8" x14ac:dyDescent="0.25">
      <c r="F1434" s="3"/>
      <c r="H1434" s="1"/>
    </row>
    <row r="1435" spans="6:8" x14ac:dyDescent="0.25">
      <c r="F1435" s="3"/>
      <c r="H1435" s="1"/>
    </row>
    <row r="1436" spans="6:8" x14ac:dyDescent="0.25">
      <c r="F1436" s="3"/>
      <c r="H1436" s="1"/>
    </row>
    <row r="1437" spans="6:8" x14ac:dyDescent="0.25">
      <c r="F1437" s="3"/>
      <c r="H1437" s="1"/>
    </row>
    <row r="1438" spans="6:8" x14ac:dyDescent="0.25">
      <c r="F1438" s="3"/>
      <c r="H1438" s="1"/>
    </row>
    <row r="1439" spans="6:8" x14ac:dyDescent="0.25">
      <c r="F1439" s="3"/>
      <c r="H1439" s="1"/>
    </row>
    <row r="1440" spans="6:8" x14ac:dyDescent="0.25">
      <c r="F1440" s="3"/>
      <c r="H1440" s="1"/>
    </row>
    <row r="1441" spans="6:8" x14ac:dyDescent="0.25">
      <c r="F1441" s="3"/>
      <c r="H1441" s="1"/>
    </row>
    <row r="1442" spans="6:8" x14ac:dyDescent="0.25">
      <c r="F1442" s="3"/>
      <c r="H1442" s="1"/>
    </row>
    <row r="1443" spans="6:8" x14ac:dyDescent="0.25">
      <c r="F1443" s="3"/>
      <c r="H1443" s="1"/>
    </row>
    <row r="1444" spans="6:8" x14ac:dyDescent="0.25">
      <c r="F1444" s="3"/>
      <c r="H1444" s="1"/>
    </row>
    <row r="1445" spans="6:8" x14ac:dyDescent="0.25">
      <c r="F1445" s="3"/>
      <c r="H1445" s="1"/>
    </row>
    <row r="1446" spans="6:8" x14ac:dyDescent="0.25">
      <c r="F1446" s="3"/>
      <c r="H1446" s="1"/>
    </row>
    <row r="1447" spans="6:8" x14ac:dyDescent="0.25">
      <c r="F1447" s="3"/>
      <c r="H1447" s="1"/>
    </row>
    <row r="1448" spans="6:8" x14ac:dyDescent="0.25">
      <c r="F1448" s="3"/>
      <c r="H1448" s="1"/>
    </row>
    <row r="1449" spans="6:8" x14ac:dyDescent="0.25">
      <c r="F1449" s="3"/>
      <c r="H1449" s="1"/>
    </row>
    <row r="1450" spans="6:8" x14ac:dyDescent="0.25">
      <c r="F1450" s="3"/>
      <c r="H1450" s="1"/>
    </row>
    <row r="1451" spans="6:8" x14ac:dyDescent="0.25">
      <c r="F1451" s="3"/>
      <c r="H1451" s="1"/>
    </row>
    <row r="1452" spans="6:8" x14ac:dyDescent="0.25">
      <c r="F1452" s="3"/>
      <c r="H1452" s="1"/>
    </row>
    <row r="1453" spans="6:8" x14ac:dyDescent="0.25">
      <c r="F1453" s="3"/>
      <c r="H1453" s="1"/>
    </row>
    <row r="1454" spans="6:8" x14ac:dyDescent="0.25">
      <c r="F1454" s="3"/>
      <c r="H1454" s="1"/>
    </row>
    <row r="1455" spans="6:8" x14ac:dyDescent="0.25">
      <c r="F1455" s="3"/>
      <c r="H1455" s="1"/>
    </row>
    <row r="1456" spans="6:8" x14ac:dyDescent="0.25">
      <c r="F1456" s="3"/>
      <c r="H1456" s="1"/>
    </row>
    <row r="1457" spans="6:8" x14ac:dyDescent="0.25">
      <c r="F1457" s="3"/>
      <c r="H1457" s="1"/>
    </row>
    <row r="1458" spans="6:8" x14ac:dyDescent="0.25">
      <c r="F1458" s="3"/>
      <c r="H1458" s="1"/>
    </row>
    <row r="1459" spans="6:8" x14ac:dyDescent="0.25">
      <c r="F1459" s="3"/>
      <c r="H1459" s="1"/>
    </row>
    <row r="1460" spans="6:8" x14ac:dyDescent="0.25">
      <c r="F1460" s="3"/>
      <c r="H1460" s="1"/>
    </row>
    <row r="1461" spans="6:8" x14ac:dyDescent="0.25">
      <c r="F1461" s="3"/>
      <c r="H1461" s="1"/>
    </row>
    <row r="1462" spans="6:8" x14ac:dyDescent="0.25">
      <c r="F1462" s="3"/>
      <c r="H1462" s="1"/>
    </row>
    <row r="1463" spans="6:8" x14ac:dyDescent="0.25">
      <c r="F1463" s="3"/>
      <c r="H1463" s="1"/>
    </row>
    <row r="1464" spans="6:8" x14ac:dyDescent="0.25">
      <c r="F1464" s="3"/>
      <c r="H1464" s="1"/>
    </row>
    <row r="1465" spans="6:8" x14ac:dyDescent="0.25">
      <c r="F1465" s="3"/>
      <c r="H1465" s="1"/>
    </row>
    <row r="1466" spans="6:8" x14ac:dyDescent="0.25">
      <c r="F1466" s="3"/>
      <c r="H1466" s="1"/>
    </row>
    <row r="1467" spans="6:8" x14ac:dyDescent="0.25">
      <c r="F1467" s="3"/>
      <c r="H1467" s="1"/>
    </row>
    <row r="1468" spans="6:8" x14ac:dyDescent="0.25">
      <c r="F1468" s="3"/>
      <c r="H1468" s="1"/>
    </row>
    <row r="1469" spans="6:8" x14ac:dyDescent="0.25">
      <c r="F1469" s="3"/>
      <c r="H1469" s="1"/>
    </row>
    <row r="1470" spans="6:8" x14ac:dyDescent="0.25">
      <c r="F1470" s="3"/>
      <c r="H1470" s="1"/>
    </row>
    <row r="1471" spans="6:8" x14ac:dyDescent="0.25">
      <c r="F1471" s="3"/>
      <c r="H1471" s="1"/>
    </row>
    <row r="1472" spans="6:8" x14ac:dyDescent="0.25">
      <c r="F1472" s="3"/>
      <c r="H1472" s="1"/>
    </row>
    <row r="1473" spans="6:8" x14ac:dyDescent="0.25">
      <c r="F1473" s="3"/>
      <c r="H1473" s="1"/>
    </row>
    <row r="1474" spans="6:8" x14ac:dyDescent="0.25">
      <c r="F1474" s="3"/>
      <c r="H1474" s="1"/>
    </row>
    <row r="1475" spans="6:8" x14ac:dyDescent="0.25">
      <c r="F1475" s="3"/>
      <c r="H1475" s="1"/>
    </row>
    <row r="1476" spans="6:8" x14ac:dyDescent="0.25">
      <c r="F1476" s="3"/>
      <c r="H1476" s="1"/>
    </row>
    <row r="1477" spans="6:8" x14ac:dyDescent="0.25">
      <c r="F1477" s="3"/>
      <c r="H1477" s="1"/>
    </row>
    <row r="1478" spans="6:8" x14ac:dyDescent="0.25">
      <c r="F1478" s="3"/>
      <c r="H1478" s="1"/>
    </row>
    <row r="1479" spans="6:8" x14ac:dyDescent="0.25">
      <c r="F1479" s="3"/>
      <c r="H1479" s="1"/>
    </row>
    <row r="1480" spans="6:8" x14ac:dyDescent="0.25">
      <c r="F1480" s="3"/>
      <c r="H1480" s="1"/>
    </row>
    <row r="1481" spans="6:8" x14ac:dyDescent="0.25">
      <c r="F1481" s="3"/>
      <c r="H1481" s="1"/>
    </row>
    <row r="1482" spans="6:8" x14ac:dyDescent="0.25">
      <c r="F1482" s="3"/>
      <c r="H1482" s="1"/>
    </row>
    <row r="1483" spans="6:8" x14ac:dyDescent="0.25">
      <c r="F1483" s="3"/>
      <c r="H1483" s="1"/>
    </row>
    <row r="1484" spans="6:8" x14ac:dyDescent="0.25">
      <c r="F1484" s="3"/>
      <c r="H1484" s="1"/>
    </row>
    <row r="1485" spans="6:8" x14ac:dyDescent="0.25">
      <c r="F1485" s="3"/>
      <c r="H1485" s="1"/>
    </row>
    <row r="1486" spans="6:8" x14ac:dyDescent="0.25">
      <c r="F1486" s="3"/>
      <c r="H1486" s="1"/>
    </row>
    <row r="1487" spans="6:8" x14ac:dyDescent="0.25">
      <c r="F1487" s="3"/>
      <c r="H1487" s="1"/>
    </row>
    <row r="1488" spans="6:8" x14ac:dyDescent="0.25">
      <c r="F1488" s="3"/>
      <c r="H1488" s="1"/>
    </row>
    <row r="1489" spans="6:8" x14ac:dyDescent="0.25">
      <c r="F1489" s="3"/>
      <c r="H1489" s="1"/>
    </row>
    <row r="1490" spans="6:8" x14ac:dyDescent="0.25">
      <c r="F1490" s="3"/>
      <c r="H1490" s="1"/>
    </row>
    <row r="1491" spans="6:8" x14ac:dyDescent="0.25">
      <c r="F1491" s="3"/>
      <c r="H1491" s="1"/>
    </row>
    <row r="1492" spans="6:8" x14ac:dyDescent="0.25">
      <c r="F1492" s="3"/>
      <c r="H1492" s="1"/>
    </row>
    <row r="1493" spans="6:8" x14ac:dyDescent="0.25">
      <c r="F1493" s="3"/>
      <c r="H1493" s="1"/>
    </row>
    <row r="1494" spans="6:8" x14ac:dyDescent="0.25">
      <c r="F1494" s="3"/>
      <c r="H1494" s="1"/>
    </row>
    <row r="1495" spans="6:8" x14ac:dyDescent="0.25">
      <c r="F1495" s="3"/>
      <c r="H1495" s="1"/>
    </row>
    <row r="1496" spans="6:8" x14ac:dyDescent="0.25">
      <c r="F1496" s="3"/>
      <c r="H1496" s="1"/>
    </row>
    <row r="1497" spans="6:8" x14ac:dyDescent="0.25">
      <c r="F1497" s="3"/>
      <c r="H1497" s="1"/>
    </row>
    <row r="1498" spans="6:8" x14ac:dyDescent="0.25">
      <c r="F1498" s="3"/>
      <c r="H1498" s="1"/>
    </row>
    <row r="1499" spans="6:8" x14ac:dyDescent="0.25">
      <c r="F1499" s="3"/>
      <c r="H1499" s="1"/>
    </row>
    <row r="1500" spans="6:8" x14ac:dyDescent="0.25">
      <c r="F1500" s="3"/>
      <c r="H1500" s="1"/>
    </row>
    <row r="1501" spans="6:8" x14ac:dyDescent="0.25">
      <c r="F1501" s="3"/>
      <c r="H1501" s="1"/>
    </row>
    <row r="1502" spans="6:8" x14ac:dyDescent="0.25">
      <c r="F1502" s="3"/>
      <c r="H1502" s="1"/>
    </row>
    <row r="1503" spans="6:8" x14ac:dyDescent="0.25">
      <c r="F1503" s="3"/>
      <c r="H1503" s="1"/>
    </row>
    <row r="1504" spans="6:8" x14ac:dyDescent="0.25">
      <c r="F1504" s="3"/>
      <c r="H1504" s="1"/>
    </row>
    <row r="1505" spans="6:8" x14ac:dyDescent="0.25">
      <c r="F1505" s="3"/>
      <c r="H1505" s="1"/>
    </row>
    <row r="1506" spans="6:8" x14ac:dyDescent="0.25">
      <c r="F1506" s="3"/>
      <c r="H1506" s="1"/>
    </row>
    <row r="1507" spans="6:8" x14ac:dyDescent="0.25">
      <c r="F1507" s="3"/>
      <c r="H1507" s="1"/>
    </row>
    <row r="1508" spans="6:8" x14ac:dyDescent="0.25">
      <c r="F1508" s="3"/>
      <c r="H1508" s="1"/>
    </row>
    <row r="1509" spans="6:8" x14ac:dyDescent="0.25">
      <c r="F1509" s="3"/>
      <c r="H1509" s="1"/>
    </row>
    <row r="1510" spans="6:8" x14ac:dyDescent="0.25">
      <c r="F1510" s="3"/>
      <c r="H1510" s="1"/>
    </row>
    <row r="1511" spans="6:8" x14ac:dyDescent="0.25">
      <c r="F1511" s="3"/>
      <c r="H1511" s="1"/>
    </row>
    <row r="1512" spans="6:8" x14ac:dyDescent="0.25">
      <c r="F1512" s="3"/>
      <c r="H1512" s="1"/>
    </row>
    <row r="1513" spans="6:8" x14ac:dyDescent="0.25">
      <c r="F1513" s="3"/>
      <c r="H1513" s="1"/>
    </row>
    <row r="1514" spans="6:8" x14ac:dyDescent="0.25">
      <c r="F1514" s="3"/>
      <c r="H1514" s="1"/>
    </row>
    <row r="1515" spans="6:8" x14ac:dyDescent="0.25">
      <c r="F1515" s="3"/>
      <c r="H1515" s="1"/>
    </row>
    <row r="1516" spans="6:8" x14ac:dyDescent="0.25">
      <c r="F1516" s="3"/>
      <c r="H1516" s="1"/>
    </row>
    <row r="1517" spans="6:8" x14ac:dyDescent="0.25">
      <c r="F1517" s="3"/>
      <c r="H1517" s="1"/>
    </row>
    <row r="1518" spans="6:8" x14ac:dyDescent="0.25">
      <c r="F1518" s="3"/>
      <c r="H1518" s="1"/>
    </row>
    <row r="1519" spans="6:8" x14ac:dyDescent="0.25">
      <c r="F1519" s="3"/>
      <c r="H1519" s="1"/>
    </row>
    <row r="1520" spans="6:8" x14ac:dyDescent="0.25">
      <c r="F1520" s="3"/>
      <c r="H1520" s="1"/>
    </row>
    <row r="1521" spans="6:8" x14ac:dyDescent="0.25">
      <c r="F1521" s="3"/>
      <c r="H1521" s="1"/>
    </row>
    <row r="1522" spans="6:8" x14ac:dyDescent="0.25">
      <c r="F1522" s="3"/>
      <c r="H1522" s="1"/>
    </row>
    <row r="1523" spans="6:8" x14ac:dyDescent="0.25">
      <c r="F1523" s="3"/>
      <c r="H1523" s="1"/>
    </row>
    <row r="1524" spans="6:8" x14ac:dyDescent="0.25">
      <c r="F1524" s="3"/>
      <c r="H1524" s="1"/>
    </row>
    <row r="1525" spans="6:8" x14ac:dyDescent="0.25">
      <c r="F1525" s="3"/>
      <c r="H1525" s="1"/>
    </row>
    <row r="1526" spans="6:8" x14ac:dyDescent="0.25">
      <c r="F1526" s="3"/>
      <c r="H1526" s="1"/>
    </row>
    <row r="1527" spans="6:8" x14ac:dyDescent="0.25">
      <c r="F1527" s="3"/>
      <c r="H1527" s="1"/>
    </row>
    <row r="1528" spans="6:8" x14ac:dyDescent="0.25">
      <c r="F1528" s="3"/>
      <c r="H1528" s="1"/>
    </row>
    <row r="1529" spans="6:8" x14ac:dyDescent="0.25">
      <c r="F1529" s="3"/>
      <c r="H1529" s="1"/>
    </row>
    <row r="1530" spans="6:8" x14ac:dyDescent="0.25">
      <c r="F1530" s="3"/>
      <c r="H1530" s="1"/>
    </row>
    <row r="1531" spans="6:8" x14ac:dyDescent="0.25">
      <c r="F1531" s="3"/>
      <c r="H1531" s="1"/>
    </row>
    <row r="1532" spans="6:8" x14ac:dyDescent="0.25">
      <c r="F1532" s="3"/>
      <c r="H1532" s="1"/>
    </row>
    <row r="1533" spans="6:8" x14ac:dyDescent="0.25">
      <c r="F1533" s="3"/>
      <c r="H1533" s="1"/>
    </row>
    <row r="1534" spans="6:8" x14ac:dyDescent="0.25">
      <c r="F1534" s="3"/>
      <c r="H1534" s="1"/>
    </row>
    <row r="1535" spans="6:8" x14ac:dyDescent="0.25">
      <c r="F1535" s="3"/>
      <c r="H1535" s="1"/>
    </row>
    <row r="1536" spans="6:8" x14ac:dyDescent="0.25">
      <c r="F1536" s="3"/>
      <c r="H1536" s="1"/>
    </row>
    <row r="1537" spans="6:8" x14ac:dyDescent="0.25">
      <c r="F1537" s="3"/>
      <c r="H1537" s="1"/>
    </row>
    <row r="1538" spans="6:8" x14ac:dyDescent="0.25">
      <c r="F1538" s="3"/>
      <c r="H1538" s="1"/>
    </row>
    <row r="1539" spans="6:8" x14ac:dyDescent="0.25">
      <c r="F1539" s="3"/>
      <c r="H1539" s="1"/>
    </row>
    <row r="1540" spans="6:8" x14ac:dyDescent="0.25">
      <c r="F1540" s="3"/>
      <c r="H1540" s="1"/>
    </row>
    <row r="1541" spans="6:8" x14ac:dyDescent="0.25">
      <c r="F1541" s="3"/>
      <c r="H1541" s="1"/>
    </row>
    <row r="1542" spans="6:8" x14ac:dyDescent="0.25">
      <c r="F1542" s="3"/>
      <c r="H1542" s="1"/>
    </row>
    <row r="1543" spans="6:8" x14ac:dyDescent="0.25">
      <c r="F1543" s="3"/>
      <c r="H1543" s="1"/>
    </row>
    <row r="1544" spans="6:8" x14ac:dyDescent="0.25">
      <c r="F1544" s="3"/>
      <c r="H1544" s="1"/>
    </row>
    <row r="1545" spans="6:8" x14ac:dyDescent="0.25">
      <c r="F1545" s="3"/>
      <c r="H1545" s="1"/>
    </row>
    <row r="1546" spans="6:8" x14ac:dyDescent="0.25">
      <c r="F1546" s="3"/>
      <c r="H1546" s="1"/>
    </row>
    <row r="1547" spans="6:8" x14ac:dyDescent="0.25">
      <c r="F1547" s="3"/>
      <c r="H1547" s="1"/>
    </row>
    <row r="1548" spans="6:8" x14ac:dyDescent="0.25">
      <c r="F1548" s="3"/>
      <c r="H1548" s="1"/>
    </row>
    <row r="1549" spans="6:8" x14ac:dyDescent="0.25">
      <c r="F1549" s="3"/>
      <c r="H1549" s="1"/>
    </row>
    <row r="1550" spans="6:8" x14ac:dyDescent="0.25">
      <c r="F1550" s="3"/>
      <c r="H1550" s="1"/>
    </row>
    <row r="1551" spans="6:8" x14ac:dyDescent="0.25">
      <c r="F1551" s="3"/>
      <c r="H1551" s="1"/>
    </row>
    <row r="1552" spans="6:8" x14ac:dyDescent="0.25">
      <c r="F1552" s="3"/>
      <c r="H1552" s="1"/>
    </row>
    <row r="1553" spans="6:8" x14ac:dyDescent="0.25">
      <c r="F1553" s="3"/>
      <c r="H1553" s="1"/>
    </row>
    <row r="1554" spans="6:8" x14ac:dyDescent="0.25">
      <c r="F1554" s="3"/>
      <c r="H1554" s="1"/>
    </row>
    <row r="1555" spans="6:8" x14ac:dyDescent="0.25">
      <c r="F1555" s="3"/>
      <c r="H1555" s="1"/>
    </row>
    <row r="1556" spans="6:8" x14ac:dyDescent="0.25">
      <c r="F1556" s="3"/>
      <c r="H1556" s="1"/>
    </row>
    <row r="1557" spans="6:8" x14ac:dyDescent="0.25">
      <c r="F1557" s="3"/>
      <c r="H1557" s="1"/>
    </row>
    <row r="1558" spans="6:8" x14ac:dyDescent="0.25">
      <c r="F1558" s="3"/>
      <c r="H1558" s="1"/>
    </row>
    <row r="1559" spans="6:8" x14ac:dyDescent="0.25">
      <c r="F1559" s="3"/>
      <c r="H1559" s="1"/>
    </row>
    <row r="1560" spans="6:8" x14ac:dyDescent="0.25">
      <c r="F1560" s="3"/>
      <c r="H1560" s="1"/>
    </row>
    <row r="1561" spans="6:8" x14ac:dyDescent="0.25">
      <c r="F1561" s="3"/>
      <c r="H1561" s="1"/>
    </row>
    <row r="1562" spans="6:8" x14ac:dyDescent="0.25">
      <c r="F1562" s="3"/>
      <c r="H1562" s="1"/>
    </row>
    <row r="1563" spans="6:8" x14ac:dyDescent="0.25">
      <c r="F1563" s="3"/>
      <c r="H1563" s="1"/>
    </row>
    <row r="1564" spans="6:8" x14ac:dyDescent="0.25">
      <c r="F1564" s="3"/>
      <c r="H1564" s="1"/>
    </row>
    <row r="1565" spans="6:8" x14ac:dyDescent="0.25">
      <c r="F1565" s="3"/>
      <c r="H1565" s="1"/>
    </row>
    <row r="1566" spans="6:8" x14ac:dyDescent="0.25">
      <c r="F1566" s="3"/>
      <c r="H1566" s="1"/>
    </row>
    <row r="1567" spans="6:8" x14ac:dyDescent="0.25">
      <c r="F1567" s="3"/>
      <c r="H1567" s="1"/>
    </row>
    <row r="1568" spans="6:8" x14ac:dyDescent="0.25">
      <c r="F1568" s="3"/>
      <c r="H1568" s="1"/>
    </row>
    <row r="1569" spans="6:8" x14ac:dyDescent="0.25">
      <c r="F1569" s="3"/>
      <c r="H1569" s="1"/>
    </row>
    <row r="1570" spans="6:8" x14ac:dyDescent="0.25">
      <c r="F1570" s="3"/>
      <c r="H1570" s="1"/>
    </row>
    <row r="1571" spans="6:8" x14ac:dyDescent="0.25">
      <c r="F1571" s="3"/>
      <c r="H1571" s="1"/>
    </row>
    <row r="1572" spans="6:8" x14ac:dyDescent="0.25">
      <c r="F1572" s="3"/>
      <c r="H1572" s="1"/>
    </row>
    <row r="1573" spans="6:8" x14ac:dyDescent="0.25">
      <c r="F1573" s="3"/>
      <c r="H1573" s="1"/>
    </row>
    <row r="1574" spans="6:8" x14ac:dyDescent="0.25">
      <c r="F1574" s="3"/>
      <c r="H1574" s="1"/>
    </row>
    <row r="1575" spans="6:8" x14ac:dyDescent="0.25">
      <c r="F1575" s="3"/>
      <c r="H1575" s="1"/>
    </row>
    <row r="1576" spans="6:8" x14ac:dyDescent="0.25">
      <c r="F1576" s="3"/>
      <c r="H1576" s="1"/>
    </row>
    <row r="1577" spans="6:8" x14ac:dyDescent="0.25">
      <c r="F1577" s="3"/>
      <c r="H1577" s="1"/>
    </row>
    <row r="1578" spans="6:8" x14ac:dyDescent="0.25">
      <c r="F1578" s="3"/>
      <c r="H1578" s="1"/>
    </row>
    <row r="1579" spans="6:8" x14ac:dyDescent="0.25">
      <c r="F1579" s="3"/>
      <c r="H1579" s="1"/>
    </row>
    <row r="1580" spans="6:8" x14ac:dyDescent="0.25">
      <c r="F1580" s="3"/>
      <c r="H1580" s="1"/>
    </row>
    <row r="1581" spans="6:8" x14ac:dyDescent="0.25">
      <c r="F1581" s="3"/>
      <c r="H1581" s="1"/>
    </row>
    <row r="1582" spans="6:8" x14ac:dyDescent="0.25">
      <c r="F1582" s="3"/>
      <c r="H1582" s="1"/>
    </row>
    <row r="1583" spans="6:8" x14ac:dyDescent="0.25">
      <c r="F1583" s="3"/>
      <c r="H1583" s="1"/>
    </row>
    <row r="1584" spans="6:8" x14ac:dyDescent="0.25">
      <c r="F1584" s="3"/>
      <c r="H1584" s="1"/>
    </row>
    <row r="1585" spans="6:8" x14ac:dyDescent="0.25">
      <c r="F1585" s="3"/>
      <c r="H1585" s="1"/>
    </row>
    <row r="1586" spans="6:8" x14ac:dyDescent="0.25">
      <c r="F1586" s="3"/>
      <c r="H1586" s="1"/>
    </row>
    <row r="1587" spans="6:8" x14ac:dyDescent="0.25">
      <c r="F1587" s="3"/>
      <c r="H1587" s="1"/>
    </row>
    <row r="1588" spans="6:8" x14ac:dyDescent="0.25">
      <c r="F1588" s="3"/>
      <c r="H1588" s="1"/>
    </row>
    <row r="1589" spans="6:8" x14ac:dyDescent="0.25">
      <c r="F1589" s="3"/>
      <c r="H1589" s="1"/>
    </row>
    <row r="1590" spans="6:8" x14ac:dyDescent="0.25">
      <c r="F1590" s="3"/>
      <c r="H1590" s="1"/>
    </row>
    <row r="1591" spans="6:8" x14ac:dyDescent="0.25">
      <c r="F1591" s="3"/>
      <c r="H1591" s="1"/>
    </row>
    <row r="1592" spans="6:8" x14ac:dyDescent="0.25">
      <c r="F1592" s="3"/>
      <c r="H1592" s="1"/>
    </row>
    <row r="1593" spans="6:8" x14ac:dyDescent="0.25">
      <c r="F1593" s="3"/>
      <c r="H1593" s="1"/>
    </row>
    <row r="1594" spans="6:8" x14ac:dyDescent="0.25">
      <c r="F1594" s="3"/>
      <c r="H1594" s="1"/>
    </row>
    <row r="1595" spans="6:8" x14ac:dyDescent="0.25">
      <c r="F1595" s="3"/>
      <c r="H1595" s="1"/>
    </row>
    <row r="1596" spans="6:8" x14ac:dyDescent="0.25">
      <c r="F1596" s="3"/>
      <c r="H1596" s="1"/>
    </row>
    <row r="1597" spans="6:8" x14ac:dyDescent="0.25">
      <c r="F1597" s="3"/>
      <c r="H1597" s="1"/>
    </row>
    <row r="1598" spans="6:8" x14ac:dyDescent="0.25">
      <c r="F1598" s="3"/>
      <c r="H1598" s="1"/>
    </row>
    <row r="1599" spans="6:8" x14ac:dyDescent="0.25">
      <c r="F1599" s="3"/>
      <c r="H1599" s="1"/>
    </row>
    <row r="1600" spans="6:8" x14ac:dyDescent="0.25">
      <c r="F1600" s="3"/>
      <c r="H1600" s="1"/>
    </row>
    <row r="1601" spans="6:8" x14ac:dyDescent="0.25">
      <c r="F1601" s="3"/>
      <c r="H1601" s="1"/>
    </row>
    <row r="1602" spans="6:8" x14ac:dyDescent="0.25">
      <c r="F1602" s="3"/>
      <c r="H1602" s="1"/>
    </row>
    <row r="1603" spans="6:8" x14ac:dyDescent="0.25">
      <c r="F1603" s="3"/>
      <c r="H1603" s="1"/>
    </row>
    <row r="1604" spans="6:8" x14ac:dyDescent="0.25">
      <c r="F1604" s="3"/>
      <c r="H1604" s="1"/>
    </row>
    <row r="1605" spans="6:8" x14ac:dyDescent="0.25">
      <c r="F1605" s="3"/>
      <c r="H1605" s="1"/>
    </row>
    <row r="1606" spans="6:8" x14ac:dyDescent="0.25">
      <c r="F1606" s="3"/>
      <c r="H1606" s="1"/>
    </row>
    <row r="1607" spans="6:8" x14ac:dyDescent="0.25">
      <c r="F1607" s="3"/>
      <c r="H1607" s="1"/>
    </row>
    <row r="1608" spans="6:8" x14ac:dyDescent="0.25">
      <c r="F1608" s="3"/>
      <c r="H1608" s="1"/>
    </row>
    <row r="1609" spans="6:8" x14ac:dyDescent="0.25">
      <c r="F1609" s="3"/>
      <c r="H1609" s="1"/>
    </row>
    <row r="1610" spans="6:8" x14ac:dyDescent="0.25">
      <c r="F1610" s="3"/>
      <c r="H1610" s="1"/>
    </row>
    <row r="1611" spans="6:8" x14ac:dyDescent="0.25">
      <c r="F1611" s="3"/>
      <c r="H1611" s="1"/>
    </row>
    <row r="1612" spans="6:8" x14ac:dyDescent="0.25">
      <c r="F1612" s="3"/>
      <c r="H1612" s="1"/>
    </row>
    <row r="1613" spans="6:8" x14ac:dyDescent="0.25">
      <c r="F1613" s="3"/>
      <c r="H1613" s="1"/>
    </row>
    <row r="1614" spans="6:8" x14ac:dyDescent="0.25">
      <c r="F1614" s="3"/>
      <c r="H1614" s="1"/>
    </row>
    <row r="1615" spans="6:8" x14ac:dyDescent="0.25">
      <c r="F1615" s="3"/>
      <c r="H1615" s="1"/>
    </row>
    <row r="1616" spans="6:8" x14ac:dyDescent="0.25">
      <c r="F1616" s="3"/>
      <c r="H1616" s="1"/>
    </row>
    <row r="1617" spans="6:8" x14ac:dyDescent="0.25">
      <c r="F1617" s="3"/>
      <c r="H1617" s="1"/>
    </row>
    <row r="1618" spans="6:8" x14ac:dyDescent="0.25">
      <c r="F1618" s="3"/>
      <c r="H1618" s="1"/>
    </row>
    <row r="1619" spans="6:8" x14ac:dyDescent="0.25">
      <c r="F1619" s="3"/>
      <c r="H1619" s="1"/>
    </row>
    <row r="1620" spans="6:8" x14ac:dyDescent="0.25">
      <c r="F1620" s="3"/>
      <c r="H1620" s="1"/>
    </row>
    <row r="1621" spans="6:8" x14ac:dyDescent="0.25">
      <c r="F1621" s="3"/>
      <c r="H1621" s="1"/>
    </row>
    <row r="1622" spans="6:8" x14ac:dyDescent="0.25">
      <c r="F1622" s="3"/>
      <c r="H1622" s="1"/>
    </row>
    <row r="1623" spans="6:8" x14ac:dyDescent="0.25">
      <c r="F1623" s="3"/>
      <c r="H1623" s="1"/>
    </row>
    <row r="1624" spans="6:8" x14ac:dyDescent="0.25">
      <c r="F1624" s="3"/>
      <c r="H1624" s="1"/>
    </row>
    <row r="1625" spans="6:8" x14ac:dyDescent="0.25">
      <c r="F1625" s="3"/>
      <c r="H1625" s="1"/>
    </row>
    <row r="1626" spans="6:8" x14ac:dyDescent="0.25">
      <c r="F1626" s="3"/>
      <c r="H1626" s="1"/>
    </row>
    <row r="1627" spans="6:8" x14ac:dyDescent="0.25">
      <c r="F1627" s="3"/>
      <c r="H1627" s="1"/>
    </row>
    <row r="1628" spans="6:8" x14ac:dyDescent="0.25">
      <c r="F1628" s="3"/>
      <c r="H1628" s="1"/>
    </row>
    <row r="1629" spans="6:8" x14ac:dyDescent="0.25">
      <c r="F1629" s="3"/>
      <c r="H1629" s="1"/>
    </row>
    <row r="1630" spans="6:8" x14ac:dyDescent="0.25">
      <c r="F1630" s="3"/>
      <c r="H1630" s="1"/>
    </row>
    <row r="1631" spans="6:8" x14ac:dyDescent="0.25">
      <c r="F1631" s="3"/>
      <c r="H1631" s="1"/>
    </row>
    <row r="1632" spans="6:8" x14ac:dyDescent="0.25">
      <c r="F1632" s="3"/>
      <c r="H1632" s="1"/>
    </row>
    <row r="1633" spans="6:8" x14ac:dyDescent="0.25">
      <c r="F1633" s="3"/>
      <c r="H1633" s="1"/>
    </row>
    <row r="1634" spans="6:8" x14ac:dyDescent="0.25">
      <c r="F1634" s="3"/>
      <c r="H1634" s="1"/>
    </row>
    <row r="1635" spans="6:8" x14ac:dyDescent="0.25">
      <c r="F1635" s="3"/>
      <c r="H1635" s="1"/>
    </row>
    <row r="1636" spans="6:8" x14ac:dyDescent="0.25">
      <c r="F1636" s="3"/>
      <c r="H1636" s="1"/>
    </row>
    <row r="1637" spans="6:8" x14ac:dyDescent="0.25">
      <c r="F1637" s="3"/>
      <c r="H1637" s="1"/>
    </row>
    <row r="1638" spans="6:8" x14ac:dyDescent="0.25">
      <c r="F1638" s="3"/>
      <c r="H1638" s="1"/>
    </row>
    <row r="1639" spans="6:8" x14ac:dyDescent="0.25">
      <c r="F1639" s="3"/>
      <c r="H1639" s="1"/>
    </row>
    <row r="1640" spans="6:8" x14ac:dyDescent="0.25">
      <c r="F1640" s="3"/>
      <c r="H1640" s="1"/>
    </row>
    <row r="1641" spans="6:8" x14ac:dyDescent="0.25">
      <c r="F1641" s="3"/>
      <c r="H1641" s="1"/>
    </row>
    <row r="1642" spans="6:8" x14ac:dyDescent="0.25">
      <c r="F1642" s="3"/>
      <c r="H1642" s="1"/>
    </row>
    <row r="1643" spans="6:8" x14ac:dyDescent="0.25">
      <c r="F1643" s="3"/>
      <c r="H1643" s="1"/>
    </row>
    <row r="1644" spans="6:8" x14ac:dyDescent="0.25">
      <c r="F1644" s="3"/>
      <c r="H1644" s="1"/>
    </row>
    <row r="1645" spans="6:8" x14ac:dyDescent="0.25">
      <c r="F1645" s="3"/>
      <c r="H1645" s="1"/>
    </row>
    <row r="1646" spans="6:8" x14ac:dyDescent="0.25">
      <c r="F1646" s="3"/>
      <c r="H1646" s="1"/>
    </row>
    <row r="1647" spans="6:8" x14ac:dyDescent="0.25">
      <c r="F1647" s="3"/>
      <c r="H1647" s="1"/>
    </row>
    <row r="1648" spans="6:8" x14ac:dyDescent="0.25">
      <c r="F1648" s="3"/>
      <c r="H1648" s="1"/>
    </row>
    <row r="1649" spans="6:8" x14ac:dyDescent="0.25">
      <c r="F1649" s="3"/>
      <c r="H1649" s="1"/>
    </row>
    <row r="1650" spans="6:8" x14ac:dyDescent="0.25">
      <c r="F1650" s="3"/>
      <c r="H1650" s="1"/>
    </row>
    <row r="1651" spans="6:8" x14ac:dyDescent="0.25">
      <c r="F1651" s="3"/>
      <c r="H1651" s="1"/>
    </row>
    <row r="1652" spans="6:8" x14ac:dyDescent="0.25">
      <c r="F1652" s="3"/>
      <c r="H1652" s="1"/>
    </row>
    <row r="1653" spans="6:8" x14ac:dyDescent="0.25">
      <c r="F1653" s="3"/>
      <c r="H1653" s="1"/>
    </row>
    <row r="1654" spans="6:8" x14ac:dyDescent="0.25">
      <c r="F1654" s="3"/>
      <c r="H1654" s="1"/>
    </row>
    <row r="1655" spans="6:8" x14ac:dyDescent="0.25">
      <c r="F1655" s="3"/>
      <c r="H1655" s="1"/>
    </row>
    <row r="1656" spans="6:8" x14ac:dyDescent="0.25">
      <c r="F1656" s="3"/>
      <c r="H1656" s="1"/>
    </row>
    <row r="1657" spans="6:8" x14ac:dyDescent="0.25">
      <c r="F1657" s="3"/>
      <c r="H1657" s="1"/>
    </row>
    <row r="1658" spans="6:8" x14ac:dyDescent="0.25">
      <c r="F1658" s="3"/>
      <c r="H1658" s="1"/>
    </row>
    <row r="1659" spans="6:8" x14ac:dyDescent="0.25">
      <c r="F1659" s="3"/>
      <c r="H1659" s="1"/>
    </row>
    <row r="1660" spans="6:8" x14ac:dyDescent="0.25">
      <c r="F1660" s="3"/>
      <c r="H1660" s="1"/>
    </row>
    <row r="1661" spans="6:8" x14ac:dyDescent="0.25">
      <c r="F1661" s="3"/>
      <c r="H1661" s="1"/>
    </row>
    <row r="1662" spans="6:8" x14ac:dyDescent="0.25">
      <c r="F1662" s="3"/>
      <c r="H1662" s="1"/>
    </row>
    <row r="1663" spans="6:8" x14ac:dyDescent="0.25">
      <c r="F1663" s="3"/>
      <c r="H1663" s="1"/>
    </row>
    <row r="1664" spans="6:8" x14ac:dyDescent="0.25">
      <c r="F1664" s="3"/>
      <c r="H1664" s="1"/>
    </row>
    <row r="1665" spans="6:8" x14ac:dyDescent="0.25">
      <c r="F1665" s="3"/>
      <c r="H1665" s="1"/>
    </row>
    <row r="1666" spans="6:8" x14ac:dyDescent="0.25">
      <c r="F1666" s="3"/>
      <c r="H1666" s="1"/>
    </row>
    <row r="1667" spans="6:8" x14ac:dyDescent="0.25">
      <c r="F1667" s="3"/>
      <c r="H1667" s="1"/>
    </row>
    <row r="1668" spans="6:8" x14ac:dyDescent="0.25">
      <c r="F1668" s="3"/>
      <c r="H1668" s="1"/>
    </row>
    <row r="1669" spans="6:8" x14ac:dyDescent="0.25">
      <c r="F1669" s="3"/>
      <c r="H1669" s="1"/>
    </row>
    <row r="1670" spans="6:8" x14ac:dyDescent="0.25">
      <c r="F1670" s="3"/>
      <c r="H1670" s="1"/>
    </row>
    <row r="1671" spans="6:8" x14ac:dyDescent="0.25">
      <c r="F1671" s="3"/>
      <c r="H1671" s="1"/>
    </row>
    <row r="1672" spans="6:8" x14ac:dyDescent="0.25">
      <c r="F1672" s="3"/>
      <c r="H1672" s="1"/>
    </row>
    <row r="1673" spans="6:8" x14ac:dyDescent="0.25">
      <c r="F1673" s="3"/>
      <c r="H1673" s="1"/>
    </row>
    <row r="1674" spans="6:8" x14ac:dyDescent="0.25">
      <c r="F1674" s="3"/>
      <c r="H1674" s="1"/>
    </row>
    <row r="1675" spans="6:8" x14ac:dyDescent="0.25">
      <c r="F1675" s="3"/>
      <c r="H1675" s="1"/>
    </row>
    <row r="1676" spans="6:8" x14ac:dyDescent="0.25">
      <c r="F1676" s="3"/>
      <c r="H1676" s="1"/>
    </row>
    <row r="1677" spans="6:8" x14ac:dyDescent="0.25">
      <c r="F1677" s="3"/>
      <c r="H1677" s="1"/>
    </row>
    <row r="1678" spans="6:8" x14ac:dyDescent="0.25">
      <c r="F1678" s="3"/>
      <c r="H1678" s="1"/>
    </row>
    <row r="1679" spans="6:8" x14ac:dyDescent="0.25">
      <c r="F1679" s="3"/>
      <c r="H1679" s="1"/>
    </row>
    <row r="1680" spans="6:8" x14ac:dyDescent="0.25">
      <c r="F1680" s="3"/>
      <c r="H1680" s="1"/>
    </row>
    <row r="1681" spans="6:8" x14ac:dyDescent="0.25">
      <c r="F1681" s="3"/>
      <c r="H1681" s="1"/>
    </row>
    <row r="1682" spans="6:8" x14ac:dyDescent="0.25">
      <c r="F1682" s="3"/>
      <c r="H1682" s="1"/>
    </row>
    <row r="1683" spans="6:8" x14ac:dyDescent="0.25">
      <c r="F1683" s="3"/>
      <c r="H1683" s="1"/>
    </row>
    <row r="1684" spans="6:8" x14ac:dyDescent="0.25">
      <c r="F1684" s="3"/>
      <c r="H1684" s="1"/>
    </row>
    <row r="1685" spans="6:8" x14ac:dyDescent="0.25">
      <c r="F1685" s="3"/>
      <c r="H1685" s="1"/>
    </row>
    <row r="1686" spans="6:8" x14ac:dyDescent="0.25">
      <c r="F1686" s="3"/>
      <c r="H1686" s="1"/>
    </row>
    <row r="1687" spans="6:8" x14ac:dyDescent="0.25">
      <c r="F1687" s="3"/>
      <c r="H1687" s="1"/>
    </row>
    <row r="1688" spans="6:8" x14ac:dyDescent="0.25">
      <c r="F1688" s="3"/>
      <c r="H1688" s="1"/>
    </row>
    <row r="1689" spans="6:8" x14ac:dyDescent="0.25">
      <c r="F1689" s="3"/>
      <c r="H1689" s="1"/>
    </row>
    <row r="1690" spans="6:8" x14ac:dyDescent="0.25">
      <c r="F1690" s="3"/>
      <c r="H1690" s="1"/>
    </row>
    <row r="1691" spans="6:8" x14ac:dyDescent="0.25">
      <c r="F1691" s="3"/>
      <c r="H1691" s="1"/>
    </row>
    <row r="1692" spans="6:8" x14ac:dyDescent="0.25">
      <c r="F1692" s="3"/>
      <c r="H1692" s="1"/>
    </row>
    <row r="1693" spans="6:8" x14ac:dyDescent="0.25">
      <c r="F1693" s="3"/>
      <c r="H1693" s="1"/>
    </row>
    <row r="1694" spans="6:8" x14ac:dyDescent="0.25">
      <c r="F1694" s="3"/>
      <c r="H1694" s="1"/>
    </row>
    <row r="1695" spans="6:8" x14ac:dyDescent="0.25">
      <c r="F1695" s="3"/>
      <c r="H1695" s="1"/>
    </row>
    <row r="1696" spans="6:8" x14ac:dyDescent="0.25">
      <c r="F1696" s="3"/>
      <c r="H1696" s="1"/>
    </row>
    <row r="1697" spans="6:8" x14ac:dyDescent="0.25">
      <c r="F1697" s="3"/>
      <c r="H1697" s="1"/>
    </row>
    <row r="1698" spans="6:8" x14ac:dyDescent="0.25">
      <c r="F1698" s="3"/>
      <c r="H1698" s="1"/>
    </row>
    <row r="1699" spans="6:8" x14ac:dyDescent="0.25">
      <c r="F1699" s="3"/>
      <c r="H1699" s="1"/>
    </row>
    <row r="1700" spans="6:8" x14ac:dyDescent="0.25">
      <c r="F1700" s="3"/>
      <c r="H1700" s="1"/>
    </row>
    <row r="1701" spans="6:8" x14ac:dyDescent="0.25">
      <c r="F1701" s="3"/>
      <c r="H1701" s="1"/>
    </row>
    <row r="1702" spans="6:8" x14ac:dyDescent="0.25">
      <c r="F1702" s="3"/>
      <c r="H1702" s="1"/>
    </row>
    <row r="1703" spans="6:8" x14ac:dyDescent="0.25">
      <c r="F1703" s="3"/>
      <c r="H1703" s="1"/>
    </row>
    <row r="1704" spans="6:8" x14ac:dyDescent="0.25">
      <c r="F1704" s="3"/>
      <c r="H1704" s="1"/>
    </row>
    <row r="1705" spans="6:8" x14ac:dyDescent="0.25">
      <c r="F1705" s="3"/>
      <c r="H1705" s="1"/>
    </row>
    <row r="1706" spans="6:8" x14ac:dyDescent="0.25">
      <c r="F1706" s="3"/>
      <c r="H1706" s="1"/>
    </row>
    <row r="1707" spans="6:8" x14ac:dyDescent="0.25">
      <c r="F1707" s="3"/>
      <c r="H1707" s="1"/>
    </row>
    <row r="1708" spans="6:8" x14ac:dyDescent="0.25">
      <c r="F1708" s="3"/>
      <c r="H1708" s="1"/>
    </row>
    <row r="1709" spans="6:8" x14ac:dyDescent="0.25">
      <c r="F1709" s="3"/>
      <c r="H1709" s="1"/>
    </row>
    <row r="1710" spans="6:8" x14ac:dyDescent="0.25">
      <c r="F1710" s="3"/>
      <c r="H1710" s="1"/>
    </row>
    <row r="1711" spans="6:8" x14ac:dyDescent="0.25">
      <c r="F1711" s="3"/>
      <c r="H1711" s="1"/>
    </row>
    <row r="1712" spans="6:8" x14ac:dyDescent="0.25">
      <c r="F1712" s="3"/>
      <c r="H1712" s="1"/>
    </row>
    <row r="1713" spans="6:8" x14ac:dyDescent="0.25">
      <c r="F1713" s="3"/>
      <c r="H1713" s="1"/>
    </row>
    <row r="1714" spans="6:8" x14ac:dyDescent="0.25">
      <c r="F1714" s="3"/>
      <c r="H1714" s="1"/>
    </row>
    <row r="1715" spans="6:8" x14ac:dyDescent="0.25">
      <c r="F1715" s="3"/>
      <c r="H1715" s="1"/>
    </row>
    <row r="1716" spans="6:8" x14ac:dyDescent="0.25">
      <c r="F1716" s="3"/>
      <c r="H1716" s="1"/>
    </row>
    <row r="1717" spans="6:8" x14ac:dyDescent="0.25">
      <c r="F1717" s="3"/>
      <c r="H1717" s="1"/>
    </row>
    <row r="1718" spans="6:8" x14ac:dyDescent="0.25">
      <c r="F1718" s="3"/>
      <c r="H1718" s="1"/>
    </row>
    <row r="1719" spans="6:8" x14ac:dyDescent="0.25">
      <c r="F1719" s="3"/>
      <c r="H1719" s="1"/>
    </row>
    <row r="1720" spans="6:8" x14ac:dyDescent="0.25">
      <c r="F1720" s="3"/>
      <c r="H1720" s="1"/>
    </row>
    <row r="1721" spans="6:8" x14ac:dyDescent="0.25">
      <c r="F1721" s="3"/>
      <c r="H1721" s="1"/>
    </row>
    <row r="1722" spans="6:8" x14ac:dyDescent="0.25">
      <c r="F1722" s="3"/>
      <c r="H1722" s="1"/>
    </row>
    <row r="1723" spans="6:8" x14ac:dyDescent="0.25">
      <c r="F1723" s="3"/>
      <c r="H1723" s="1"/>
    </row>
    <row r="1724" spans="6:8" x14ac:dyDescent="0.25">
      <c r="F1724" s="3"/>
      <c r="H1724" s="1"/>
    </row>
    <row r="1725" spans="6:8" x14ac:dyDescent="0.25">
      <c r="F1725" s="3"/>
      <c r="H1725" s="1"/>
    </row>
    <row r="1726" spans="6:8" x14ac:dyDescent="0.25">
      <c r="F1726" s="3"/>
      <c r="H1726" s="1"/>
    </row>
    <row r="1727" spans="6:8" x14ac:dyDescent="0.25">
      <c r="F1727" s="3"/>
      <c r="H1727" s="1"/>
    </row>
    <row r="1728" spans="6:8" x14ac:dyDescent="0.25">
      <c r="F1728" s="3"/>
      <c r="H1728" s="1"/>
    </row>
    <row r="1729" spans="6:8" x14ac:dyDescent="0.25">
      <c r="F1729" s="3"/>
      <c r="H1729" s="1"/>
    </row>
    <row r="1730" spans="6:8" x14ac:dyDescent="0.25">
      <c r="F1730" s="3"/>
      <c r="H1730" s="1"/>
    </row>
    <row r="1731" spans="6:8" x14ac:dyDescent="0.25">
      <c r="F1731" s="3"/>
      <c r="H1731" s="1"/>
    </row>
    <row r="1732" spans="6:8" x14ac:dyDescent="0.25">
      <c r="F1732" s="3"/>
      <c r="H1732" s="1"/>
    </row>
    <row r="1733" spans="6:8" x14ac:dyDescent="0.25">
      <c r="F1733" s="3"/>
      <c r="H1733" s="1"/>
    </row>
    <row r="1734" spans="6:8" x14ac:dyDescent="0.25">
      <c r="F1734" s="3"/>
      <c r="H1734" s="1"/>
    </row>
    <row r="1735" spans="6:8" x14ac:dyDescent="0.25">
      <c r="F1735" s="3"/>
      <c r="H1735" s="1"/>
    </row>
    <row r="1736" spans="6:8" x14ac:dyDescent="0.25">
      <c r="F1736" s="3"/>
      <c r="H1736" s="1"/>
    </row>
    <row r="1737" spans="6:8" x14ac:dyDescent="0.25">
      <c r="F1737" s="3"/>
      <c r="H1737" s="1"/>
    </row>
    <row r="1738" spans="6:8" x14ac:dyDescent="0.25">
      <c r="F1738" s="3"/>
      <c r="H1738" s="1"/>
    </row>
    <row r="1739" spans="6:8" x14ac:dyDescent="0.25">
      <c r="F1739" s="3"/>
      <c r="H1739" s="1"/>
    </row>
    <row r="1740" spans="6:8" x14ac:dyDescent="0.25">
      <c r="F1740" s="3"/>
      <c r="H1740" s="1"/>
    </row>
    <row r="1741" spans="6:8" x14ac:dyDescent="0.25">
      <c r="F1741" s="3"/>
      <c r="H1741" s="1"/>
    </row>
    <row r="1742" spans="6:8" x14ac:dyDescent="0.25">
      <c r="F1742" s="3"/>
      <c r="H1742" s="1"/>
    </row>
    <row r="1743" spans="6:8" x14ac:dyDescent="0.25">
      <c r="F1743" s="3"/>
      <c r="H1743" s="1"/>
    </row>
    <row r="1744" spans="6:8" x14ac:dyDescent="0.25">
      <c r="F1744" s="3"/>
      <c r="H1744" s="1"/>
    </row>
    <row r="1745" spans="6:8" x14ac:dyDescent="0.25">
      <c r="F1745" s="3"/>
      <c r="H1745" s="1"/>
    </row>
    <row r="1746" spans="6:8" x14ac:dyDescent="0.25">
      <c r="F1746" s="3"/>
      <c r="H1746" s="1"/>
    </row>
    <row r="1747" spans="6:8" x14ac:dyDescent="0.25">
      <c r="F1747" s="3"/>
      <c r="H1747" s="1"/>
    </row>
    <row r="1748" spans="6:8" x14ac:dyDescent="0.25">
      <c r="F1748" s="3"/>
      <c r="H1748" s="1"/>
    </row>
    <row r="1749" spans="6:8" x14ac:dyDescent="0.25">
      <c r="F1749" s="3"/>
      <c r="H1749" s="1"/>
    </row>
    <row r="1750" spans="6:8" x14ac:dyDescent="0.25">
      <c r="F1750" s="3"/>
      <c r="H1750" s="1"/>
    </row>
    <row r="1751" spans="6:8" x14ac:dyDescent="0.25">
      <c r="F1751" s="3"/>
      <c r="H1751" s="1"/>
    </row>
    <row r="1752" spans="6:8" x14ac:dyDescent="0.25">
      <c r="F1752" s="3"/>
      <c r="H1752" s="1"/>
    </row>
    <row r="1753" spans="6:8" x14ac:dyDescent="0.25">
      <c r="F1753" s="3"/>
      <c r="H1753" s="1"/>
    </row>
    <row r="1754" spans="6:8" x14ac:dyDescent="0.25">
      <c r="F1754" s="3"/>
      <c r="H1754" s="1"/>
    </row>
    <row r="1755" spans="6:8" x14ac:dyDescent="0.25">
      <c r="F1755" s="3"/>
      <c r="H1755" s="1"/>
    </row>
    <row r="1756" spans="6:8" x14ac:dyDescent="0.25">
      <c r="F1756" s="3"/>
      <c r="H1756" s="1"/>
    </row>
    <row r="1757" spans="6:8" x14ac:dyDescent="0.25">
      <c r="F1757" s="3"/>
      <c r="H1757" s="1"/>
    </row>
    <row r="1758" spans="6:8" x14ac:dyDescent="0.25">
      <c r="F1758" s="3"/>
      <c r="H1758" s="1"/>
    </row>
    <row r="1759" spans="6:8" x14ac:dyDescent="0.25">
      <c r="F1759" s="3"/>
      <c r="H1759" s="1"/>
    </row>
    <row r="1760" spans="6:8" x14ac:dyDescent="0.25">
      <c r="F1760" s="3"/>
      <c r="H1760" s="1"/>
    </row>
    <row r="1761" spans="6:8" x14ac:dyDescent="0.25">
      <c r="F1761" s="3"/>
      <c r="H1761" s="1"/>
    </row>
    <row r="1762" spans="6:8" x14ac:dyDescent="0.25">
      <c r="F1762" s="3"/>
      <c r="H1762" s="1"/>
    </row>
    <row r="1763" spans="6:8" x14ac:dyDescent="0.25">
      <c r="F1763" s="3"/>
      <c r="H1763" s="1"/>
    </row>
    <row r="1764" spans="6:8" x14ac:dyDescent="0.25">
      <c r="F1764" s="3"/>
      <c r="H1764" s="1"/>
    </row>
    <row r="1765" spans="6:8" x14ac:dyDescent="0.25">
      <c r="F1765" s="3"/>
      <c r="H1765" s="1"/>
    </row>
    <row r="1766" spans="6:8" x14ac:dyDescent="0.25">
      <c r="F1766" s="3"/>
      <c r="H1766" s="1"/>
    </row>
    <row r="1767" spans="6:8" x14ac:dyDescent="0.25">
      <c r="F1767" s="3"/>
      <c r="H1767" s="1"/>
    </row>
    <row r="1768" spans="6:8" x14ac:dyDescent="0.25">
      <c r="F1768" s="3"/>
      <c r="H1768" s="1"/>
    </row>
    <row r="1769" spans="6:8" x14ac:dyDescent="0.25">
      <c r="F1769" s="3"/>
      <c r="H1769" s="1"/>
    </row>
    <row r="1770" spans="6:8" x14ac:dyDescent="0.25">
      <c r="F1770" s="3"/>
      <c r="H1770" s="1"/>
    </row>
    <row r="1771" spans="6:8" x14ac:dyDescent="0.25">
      <c r="F1771" s="3"/>
      <c r="H1771" s="1"/>
    </row>
    <row r="1772" spans="6:8" x14ac:dyDescent="0.25">
      <c r="F1772" s="3"/>
      <c r="H1772" s="1"/>
    </row>
    <row r="1773" spans="6:8" x14ac:dyDescent="0.25">
      <c r="F1773" s="3"/>
      <c r="H1773" s="1"/>
    </row>
    <row r="1774" spans="6:8" x14ac:dyDescent="0.25">
      <c r="F1774" s="3"/>
      <c r="H1774" s="1"/>
    </row>
    <row r="1775" spans="6:8" x14ac:dyDescent="0.25">
      <c r="F1775" s="3"/>
      <c r="H1775" s="1"/>
    </row>
    <row r="1776" spans="6:8" x14ac:dyDescent="0.25">
      <c r="F1776" s="3"/>
      <c r="H1776" s="1"/>
    </row>
    <row r="1777" spans="6:8" x14ac:dyDescent="0.25">
      <c r="F1777" s="3"/>
      <c r="H1777" s="1"/>
    </row>
    <row r="1778" spans="6:8" x14ac:dyDescent="0.25">
      <c r="F1778" s="3"/>
      <c r="H1778" s="1"/>
    </row>
    <row r="1779" spans="6:8" x14ac:dyDescent="0.25">
      <c r="F1779" s="3"/>
      <c r="H1779" s="1"/>
    </row>
    <row r="1780" spans="6:8" x14ac:dyDescent="0.25">
      <c r="F1780" s="3"/>
      <c r="H1780" s="1"/>
    </row>
    <row r="1781" spans="6:8" x14ac:dyDescent="0.25">
      <c r="F1781" s="3"/>
      <c r="H1781" s="1"/>
    </row>
    <row r="1782" spans="6:8" x14ac:dyDescent="0.25">
      <c r="F1782" s="3"/>
      <c r="H1782" s="1"/>
    </row>
    <row r="1783" spans="6:8" x14ac:dyDescent="0.25">
      <c r="F1783" s="3"/>
      <c r="H1783" s="1"/>
    </row>
    <row r="1784" spans="6:8" x14ac:dyDescent="0.25">
      <c r="F1784" s="3"/>
      <c r="H1784" s="1"/>
    </row>
    <row r="1785" spans="6:8" x14ac:dyDescent="0.25">
      <c r="F1785" s="3"/>
      <c r="H1785" s="1"/>
    </row>
    <row r="1786" spans="6:8" x14ac:dyDescent="0.25">
      <c r="F1786" s="3"/>
      <c r="H1786" s="1"/>
    </row>
    <row r="1787" spans="6:8" x14ac:dyDescent="0.25">
      <c r="F1787" s="3"/>
      <c r="H1787" s="1"/>
    </row>
    <row r="1788" spans="6:8" x14ac:dyDescent="0.25">
      <c r="F1788" s="3"/>
      <c r="H1788" s="1"/>
    </row>
    <row r="1789" spans="6:8" x14ac:dyDescent="0.25">
      <c r="F1789" s="3"/>
      <c r="H1789" s="1"/>
    </row>
    <row r="1790" spans="6:8" x14ac:dyDescent="0.25">
      <c r="F1790" s="3"/>
      <c r="H1790" s="1"/>
    </row>
    <row r="1791" spans="6:8" x14ac:dyDescent="0.25">
      <c r="F1791" s="3"/>
      <c r="H1791" s="1"/>
    </row>
    <row r="1792" spans="6:8" x14ac:dyDescent="0.25">
      <c r="F1792" s="3"/>
      <c r="H1792" s="1"/>
    </row>
    <row r="1793" spans="6:8" x14ac:dyDescent="0.25">
      <c r="F1793" s="3"/>
      <c r="H1793" s="1"/>
    </row>
    <row r="1794" spans="6:8" x14ac:dyDescent="0.25">
      <c r="F1794" s="3"/>
      <c r="H1794" s="1"/>
    </row>
    <row r="1795" spans="6:8" x14ac:dyDescent="0.25">
      <c r="F1795" s="3"/>
      <c r="H1795" s="1"/>
    </row>
    <row r="1796" spans="6:8" x14ac:dyDescent="0.25">
      <c r="F1796" s="3"/>
      <c r="H1796" s="1"/>
    </row>
    <row r="1797" spans="6:8" x14ac:dyDescent="0.25">
      <c r="F1797" s="3"/>
      <c r="H1797" s="1"/>
    </row>
    <row r="1798" spans="6:8" x14ac:dyDescent="0.25">
      <c r="F1798" s="3"/>
      <c r="H1798" s="1"/>
    </row>
    <row r="1799" spans="6:8" x14ac:dyDescent="0.25">
      <c r="F1799" s="3"/>
      <c r="H1799" s="1"/>
    </row>
    <row r="1800" spans="6:8" x14ac:dyDescent="0.25">
      <c r="F1800" s="3"/>
      <c r="H1800" s="1"/>
    </row>
    <row r="1801" spans="6:8" x14ac:dyDescent="0.25">
      <c r="F1801" s="3"/>
      <c r="H1801" s="1"/>
    </row>
    <row r="1802" spans="6:8" x14ac:dyDescent="0.25">
      <c r="F1802" s="3"/>
      <c r="H1802" s="1"/>
    </row>
    <row r="1803" spans="6:8" x14ac:dyDescent="0.25">
      <c r="F1803" s="3"/>
      <c r="H1803" s="1"/>
    </row>
    <row r="1804" spans="6:8" x14ac:dyDescent="0.25">
      <c r="F1804" s="3"/>
      <c r="H1804" s="1"/>
    </row>
    <row r="1805" spans="6:8" x14ac:dyDescent="0.25">
      <c r="F1805" s="3"/>
      <c r="H1805" s="1"/>
    </row>
    <row r="1806" spans="6:8" x14ac:dyDescent="0.25">
      <c r="F1806" s="3"/>
      <c r="H1806" s="1"/>
    </row>
    <row r="1807" spans="6:8" x14ac:dyDescent="0.25">
      <c r="F1807" s="3"/>
      <c r="H1807" s="1"/>
    </row>
    <row r="1808" spans="6:8" x14ac:dyDescent="0.25">
      <c r="F1808" s="3"/>
      <c r="H1808" s="1"/>
    </row>
    <row r="1809" spans="6:8" x14ac:dyDescent="0.25">
      <c r="F1809" s="3"/>
      <c r="H1809" s="1"/>
    </row>
    <row r="1810" spans="6:8" x14ac:dyDescent="0.25">
      <c r="F1810" s="3"/>
      <c r="H1810" s="1"/>
    </row>
    <row r="1811" spans="6:8" x14ac:dyDescent="0.25">
      <c r="F1811" s="3"/>
      <c r="H1811" s="1"/>
    </row>
    <row r="1812" spans="6:8" x14ac:dyDescent="0.25">
      <c r="F1812" s="3"/>
      <c r="H1812" s="1"/>
    </row>
    <row r="1813" spans="6:8" x14ac:dyDescent="0.25">
      <c r="F1813" s="3"/>
      <c r="H1813" s="1"/>
    </row>
    <row r="1814" spans="6:8" x14ac:dyDescent="0.25">
      <c r="F1814" s="3"/>
      <c r="H1814" s="1"/>
    </row>
    <row r="1815" spans="6:8" x14ac:dyDescent="0.25">
      <c r="F1815" s="3"/>
      <c r="H1815" s="1"/>
    </row>
    <row r="1816" spans="6:8" x14ac:dyDescent="0.25">
      <c r="F1816" s="3"/>
      <c r="H1816" s="1"/>
    </row>
    <row r="1817" spans="6:8" x14ac:dyDescent="0.25">
      <c r="F1817" s="3"/>
      <c r="H1817" s="1"/>
    </row>
    <row r="1818" spans="6:8" x14ac:dyDescent="0.25">
      <c r="F1818" s="3"/>
      <c r="H1818" s="1"/>
    </row>
    <row r="1819" spans="6:8" x14ac:dyDescent="0.25">
      <c r="F1819" s="3"/>
      <c r="H1819" s="1"/>
    </row>
    <row r="1820" spans="6:8" x14ac:dyDescent="0.25">
      <c r="F1820" s="3"/>
      <c r="H1820" s="1"/>
    </row>
    <row r="1821" spans="6:8" x14ac:dyDescent="0.25">
      <c r="F1821" s="3"/>
      <c r="H1821" s="1"/>
    </row>
    <row r="1822" spans="6:8" x14ac:dyDescent="0.25">
      <c r="F1822" s="3"/>
      <c r="H1822" s="1"/>
    </row>
    <row r="1823" spans="6:8" x14ac:dyDescent="0.25">
      <c r="F1823" s="3"/>
      <c r="H1823" s="1"/>
    </row>
    <row r="1824" spans="6:8" x14ac:dyDescent="0.25">
      <c r="F1824" s="3"/>
      <c r="H1824" s="1"/>
    </row>
    <row r="1825" spans="6:8" x14ac:dyDescent="0.25">
      <c r="F1825" s="3"/>
      <c r="H1825" s="1"/>
    </row>
    <row r="1826" spans="6:8" x14ac:dyDescent="0.25">
      <c r="F1826" s="3"/>
      <c r="H1826" s="1"/>
    </row>
    <row r="1827" spans="6:8" x14ac:dyDescent="0.25">
      <c r="F1827" s="3"/>
      <c r="H1827" s="1"/>
    </row>
    <row r="1828" spans="6:8" x14ac:dyDescent="0.25">
      <c r="F1828" s="3"/>
      <c r="H1828" s="1"/>
    </row>
    <row r="1829" spans="6:8" x14ac:dyDescent="0.25">
      <c r="F1829" s="3"/>
      <c r="H1829" s="1"/>
    </row>
    <row r="1830" spans="6:8" x14ac:dyDescent="0.25">
      <c r="F1830" s="3"/>
      <c r="H1830" s="1"/>
    </row>
    <row r="1831" spans="6:8" x14ac:dyDescent="0.25">
      <c r="F1831" s="3"/>
      <c r="H1831" s="1"/>
    </row>
    <row r="1832" spans="6:8" x14ac:dyDescent="0.25">
      <c r="F1832" s="3"/>
      <c r="H1832" s="1"/>
    </row>
    <row r="1833" spans="6:8" x14ac:dyDescent="0.25">
      <c r="F1833" s="3"/>
      <c r="H1833" s="1"/>
    </row>
    <row r="1834" spans="6:8" x14ac:dyDescent="0.25">
      <c r="F1834" s="3"/>
      <c r="H1834" s="1"/>
    </row>
    <row r="1835" spans="6:8" x14ac:dyDescent="0.25">
      <c r="F1835" s="3"/>
      <c r="H1835" s="1"/>
    </row>
    <row r="1836" spans="6:8" x14ac:dyDescent="0.25">
      <c r="F1836" s="3"/>
      <c r="H1836" s="1"/>
    </row>
    <row r="1837" spans="6:8" x14ac:dyDescent="0.25">
      <c r="F1837" s="3"/>
      <c r="H1837" s="1"/>
    </row>
    <row r="1838" spans="6:8" x14ac:dyDescent="0.25">
      <c r="F1838" s="3"/>
      <c r="H1838" s="1"/>
    </row>
    <row r="1839" spans="6:8" x14ac:dyDescent="0.25">
      <c r="F1839" s="3"/>
      <c r="H1839" s="1"/>
    </row>
    <row r="1840" spans="6:8" x14ac:dyDescent="0.25">
      <c r="F1840" s="3"/>
      <c r="H1840" s="1"/>
    </row>
    <row r="1841" spans="6:8" x14ac:dyDescent="0.25">
      <c r="F1841" s="3"/>
      <c r="H1841" s="1"/>
    </row>
    <row r="1842" spans="6:8" x14ac:dyDescent="0.25">
      <c r="F1842" s="3"/>
      <c r="H1842" s="1"/>
    </row>
    <row r="1843" spans="6:8" x14ac:dyDescent="0.25">
      <c r="F1843" s="3"/>
      <c r="H1843" s="1"/>
    </row>
    <row r="1844" spans="6:8" x14ac:dyDescent="0.25">
      <c r="F1844" s="3"/>
      <c r="H1844" s="1"/>
    </row>
    <row r="1845" spans="6:8" x14ac:dyDescent="0.25">
      <c r="F1845" s="3"/>
      <c r="H1845" s="1"/>
    </row>
    <row r="1846" spans="6:8" x14ac:dyDescent="0.25">
      <c r="F1846" s="3"/>
      <c r="H1846" s="1"/>
    </row>
    <row r="1847" spans="6:8" x14ac:dyDescent="0.25">
      <c r="F1847" s="3"/>
      <c r="H1847" s="1"/>
    </row>
    <row r="1848" spans="6:8" x14ac:dyDescent="0.25">
      <c r="F1848" s="3"/>
      <c r="H1848" s="1"/>
    </row>
    <row r="1849" spans="6:8" x14ac:dyDescent="0.25">
      <c r="F1849" s="3"/>
      <c r="H1849" s="1"/>
    </row>
    <row r="1850" spans="6:8" x14ac:dyDescent="0.25">
      <c r="F1850" s="3"/>
      <c r="H1850" s="1"/>
    </row>
    <row r="1851" spans="6:8" x14ac:dyDescent="0.25">
      <c r="F1851" s="3"/>
      <c r="H1851" s="1"/>
    </row>
    <row r="1852" spans="6:8" x14ac:dyDescent="0.25">
      <c r="F1852" s="3"/>
      <c r="H1852" s="1"/>
    </row>
    <row r="1853" spans="6:8" x14ac:dyDescent="0.25">
      <c r="F1853" s="3"/>
      <c r="H1853" s="1"/>
    </row>
    <row r="1854" spans="6:8" x14ac:dyDescent="0.25">
      <c r="F1854" s="3"/>
      <c r="H1854" s="1"/>
    </row>
    <row r="1855" spans="6:8" x14ac:dyDescent="0.25">
      <c r="F1855" s="3"/>
      <c r="H1855" s="1"/>
    </row>
    <row r="1856" spans="6:8" x14ac:dyDescent="0.25">
      <c r="F1856" s="3"/>
      <c r="H1856" s="1"/>
    </row>
    <row r="1857" spans="6:8" x14ac:dyDescent="0.25">
      <c r="F1857" s="3"/>
      <c r="H1857" s="1"/>
    </row>
    <row r="1858" spans="6:8" x14ac:dyDescent="0.25">
      <c r="F1858" s="3"/>
      <c r="H1858" s="1"/>
    </row>
    <row r="1859" spans="6:8" x14ac:dyDescent="0.25">
      <c r="F1859" s="3"/>
      <c r="H1859" s="1"/>
    </row>
    <row r="1860" spans="6:8" x14ac:dyDescent="0.25">
      <c r="F1860" s="3"/>
      <c r="H1860" s="1"/>
    </row>
    <row r="1861" spans="6:8" x14ac:dyDescent="0.25">
      <c r="F1861" s="3"/>
      <c r="H1861" s="1"/>
    </row>
    <row r="1862" spans="6:8" x14ac:dyDescent="0.25">
      <c r="F1862" s="3"/>
      <c r="H1862" s="1"/>
    </row>
    <row r="1863" spans="6:8" x14ac:dyDescent="0.25">
      <c r="F1863" s="3"/>
      <c r="H1863" s="1"/>
    </row>
    <row r="1864" spans="6:8" x14ac:dyDescent="0.25">
      <c r="F1864" s="3"/>
      <c r="H1864" s="1"/>
    </row>
    <row r="1865" spans="6:8" x14ac:dyDescent="0.25">
      <c r="F1865" s="3"/>
      <c r="H1865" s="1"/>
    </row>
    <row r="1866" spans="6:8" x14ac:dyDescent="0.25">
      <c r="F1866" s="3"/>
      <c r="H1866" s="1"/>
    </row>
    <row r="1867" spans="6:8" x14ac:dyDescent="0.25">
      <c r="F1867" s="3"/>
      <c r="H1867" s="1"/>
    </row>
    <row r="1868" spans="6:8" x14ac:dyDescent="0.25">
      <c r="F1868" s="3"/>
      <c r="H1868" s="1"/>
    </row>
    <row r="1869" spans="6:8" x14ac:dyDescent="0.25">
      <c r="F1869" s="3"/>
      <c r="H1869" s="1"/>
    </row>
    <row r="1870" spans="6:8" x14ac:dyDescent="0.25">
      <c r="F1870" s="3"/>
      <c r="H1870" s="1"/>
    </row>
    <row r="1871" spans="6:8" x14ac:dyDescent="0.25">
      <c r="F1871" s="3"/>
      <c r="H1871" s="1"/>
    </row>
    <row r="1872" spans="6:8" x14ac:dyDescent="0.25">
      <c r="F1872" s="3"/>
      <c r="H1872" s="1"/>
    </row>
    <row r="1873" spans="6:8" x14ac:dyDescent="0.25">
      <c r="F1873" s="3"/>
      <c r="H1873" s="1"/>
    </row>
    <row r="1874" spans="6:8" x14ac:dyDescent="0.25">
      <c r="F1874" s="3"/>
      <c r="H1874" s="1"/>
    </row>
    <row r="1875" spans="6:8" x14ac:dyDescent="0.25">
      <c r="F1875" s="3"/>
      <c r="H1875" s="1"/>
    </row>
    <row r="1876" spans="6:8" x14ac:dyDescent="0.25">
      <c r="F1876" s="3"/>
      <c r="H1876" s="1"/>
    </row>
    <row r="1877" spans="6:8" x14ac:dyDescent="0.25">
      <c r="F1877" s="3"/>
      <c r="H1877" s="1"/>
    </row>
    <row r="1878" spans="6:8" x14ac:dyDescent="0.25">
      <c r="F1878" s="3"/>
      <c r="H1878" s="1"/>
    </row>
    <row r="1879" spans="6:8" x14ac:dyDescent="0.25">
      <c r="F1879" s="3"/>
      <c r="H1879" s="1"/>
    </row>
    <row r="1880" spans="6:8" x14ac:dyDescent="0.25">
      <c r="F1880" s="3"/>
      <c r="H1880" s="1"/>
    </row>
    <row r="1881" spans="6:8" x14ac:dyDescent="0.25">
      <c r="F1881" s="3"/>
      <c r="H1881" s="1"/>
    </row>
    <row r="1882" spans="6:8" x14ac:dyDescent="0.25">
      <c r="F1882" s="3"/>
      <c r="H1882" s="1"/>
    </row>
    <row r="1883" spans="6:8" x14ac:dyDescent="0.25">
      <c r="F1883" s="3"/>
      <c r="H1883" s="1"/>
    </row>
    <row r="1884" spans="6:8" x14ac:dyDescent="0.25">
      <c r="F1884" s="3"/>
      <c r="H1884" s="1"/>
    </row>
    <row r="1885" spans="6:8" x14ac:dyDescent="0.25">
      <c r="F1885" s="3"/>
      <c r="H1885" s="1"/>
    </row>
    <row r="1886" spans="6:8" x14ac:dyDescent="0.25">
      <c r="F1886" s="3"/>
      <c r="H1886" s="1"/>
    </row>
    <row r="1887" spans="6:8" x14ac:dyDescent="0.25">
      <c r="F1887" s="3"/>
      <c r="H1887" s="1"/>
    </row>
    <row r="1888" spans="6:8" x14ac:dyDescent="0.25">
      <c r="F1888" s="3"/>
      <c r="H1888" s="1"/>
    </row>
    <row r="1889" spans="6:8" x14ac:dyDescent="0.25">
      <c r="F1889" s="3"/>
      <c r="H1889" s="1"/>
    </row>
    <row r="1890" spans="6:8" x14ac:dyDescent="0.25">
      <c r="F1890" s="3"/>
      <c r="H1890" s="1"/>
    </row>
    <row r="1891" spans="6:8" x14ac:dyDescent="0.25">
      <c r="F1891" s="3"/>
      <c r="H1891" s="1"/>
    </row>
    <row r="1892" spans="6:8" x14ac:dyDescent="0.25">
      <c r="F1892" s="3"/>
      <c r="H1892" s="1"/>
    </row>
    <row r="1893" spans="6:8" x14ac:dyDescent="0.25">
      <c r="F1893" s="3"/>
      <c r="H1893" s="1"/>
    </row>
    <row r="1894" spans="6:8" x14ac:dyDescent="0.25">
      <c r="F1894" s="3"/>
      <c r="H1894" s="1"/>
    </row>
    <row r="1895" spans="6:8" x14ac:dyDescent="0.25">
      <c r="F1895" s="3"/>
      <c r="H1895" s="1"/>
    </row>
    <row r="1896" spans="6:8" x14ac:dyDescent="0.25">
      <c r="F1896" s="3"/>
      <c r="H1896" s="1"/>
    </row>
    <row r="1897" spans="6:8" x14ac:dyDescent="0.25">
      <c r="F1897" s="3"/>
      <c r="H1897" s="1"/>
    </row>
    <row r="1898" spans="6:8" x14ac:dyDescent="0.25">
      <c r="F1898" s="3"/>
      <c r="H1898" s="1"/>
    </row>
    <row r="1899" spans="6:8" x14ac:dyDescent="0.25">
      <c r="F1899" s="3"/>
      <c r="H1899" s="1"/>
    </row>
    <row r="1900" spans="6:8" x14ac:dyDescent="0.25">
      <c r="F1900" s="3"/>
      <c r="H1900" s="1"/>
    </row>
    <row r="1901" spans="6:8" x14ac:dyDescent="0.25">
      <c r="F1901" s="3"/>
      <c r="H1901" s="1"/>
    </row>
    <row r="1902" spans="6:8" x14ac:dyDescent="0.25">
      <c r="F1902" s="3"/>
      <c r="H1902" s="1"/>
    </row>
    <row r="1903" spans="6:8" x14ac:dyDescent="0.25">
      <c r="F1903" s="3"/>
      <c r="H1903" s="1"/>
    </row>
    <row r="1904" spans="6:8" x14ac:dyDescent="0.25">
      <c r="F1904" s="3"/>
      <c r="H1904" s="1"/>
    </row>
    <row r="1905" spans="6:8" x14ac:dyDescent="0.25">
      <c r="F1905" s="3"/>
      <c r="H1905" s="1"/>
    </row>
    <row r="1906" spans="6:8" x14ac:dyDescent="0.25">
      <c r="F1906" s="3"/>
      <c r="H1906" s="1"/>
    </row>
    <row r="1907" spans="6:8" x14ac:dyDescent="0.25">
      <c r="F1907" s="3"/>
      <c r="H1907" s="1"/>
    </row>
    <row r="1908" spans="6:8" x14ac:dyDescent="0.25">
      <c r="F1908" s="3"/>
      <c r="H1908" s="1"/>
    </row>
    <row r="1909" spans="6:8" x14ac:dyDescent="0.25">
      <c r="F1909" s="3"/>
      <c r="H1909" s="1"/>
    </row>
    <row r="1910" spans="6:8" x14ac:dyDescent="0.25">
      <c r="F1910" s="3"/>
      <c r="H1910" s="1"/>
    </row>
    <row r="1911" spans="6:8" x14ac:dyDescent="0.25">
      <c r="F1911" s="3"/>
      <c r="H1911" s="1"/>
    </row>
    <row r="1912" spans="6:8" x14ac:dyDescent="0.25">
      <c r="F1912" s="3"/>
      <c r="H1912" s="1"/>
    </row>
    <row r="1913" spans="6:8" x14ac:dyDescent="0.25">
      <c r="F1913" s="3"/>
      <c r="H1913" s="1"/>
    </row>
    <row r="1914" spans="6:8" x14ac:dyDescent="0.25">
      <c r="F1914" s="3"/>
      <c r="H1914" s="1"/>
    </row>
    <row r="1915" spans="6:8" x14ac:dyDescent="0.25">
      <c r="F1915" s="3"/>
      <c r="H1915" s="1"/>
    </row>
    <row r="1916" spans="6:8" x14ac:dyDescent="0.25">
      <c r="F1916" s="3"/>
      <c r="H1916" s="1"/>
    </row>
    <row r="1917" spans="6:8" x14ac:dyDescent="0.25">
      <c r="F1917" s="3"/>
      <c r="H1917" s="1"/>
    </row>
    <row r="1918" spans="6:8" x14ac:dyDescent="0.25">
      <c r="F1918" s="3"/>
      <c r="H1918" s="1"/>
    </row>
    <row r="1919" spans="6:8" x14ac:dyDescent="0.25">
      <c r="F1919" s="3"/>
      <c r="H1919" s="1"/>
    </row>
    <row r="1920" spans="6:8" x14ac:dyDescent="0.25">
      <c r="F1920" s="3"/>
      <c r="H1920" s="1"/>
    </row>
    <row r="1921" spans="6:8" x14ac:dyDescent="0.25">
      <c r="F1921" s="3"/>
      <c r="H1921" s="1"/>
    </row>
    <row r="1922" spans="6:8" x14ac:dyDescent="0.25">
      <c r="F1922" s="3"/>
      <c r="H1922" s="1"/>
    </row>
    <row r="1923" spans="6:8" x14ac:dyDescent="0.25">
      <c r="F1923" s="3"/>
      <c r="H1923" s="1"/>
    </row>
    <row r="1924" spans="6:8" x14ac:dyDescent="0.25">
      <c r="F1924" s="3"/>
      <c r="H1924" s="1"/>
    </row>
    <row r="1925" spans="6:8" x14ac:dyDescent="0.25">
      <c r="F1925" s="3"/>
      <c r="H1925" s="1"/>
    </row>
    <row r="1926" spans="6:8" x14ac:dyDescent="0.25">
      <c r="F1926" s="3"/>
      <c r="H1926" s="1"/>
    </row>
    <row r="1927" spans="6:8" x14ac:dyDescent="0.25">
      <c r="F1927" s="3"/>
      <c r="H1927" s="1"/>
    </row>
    <row r="1928" spans="6:8" x14ac:dyDescent="0.25">
      <c r="F1928" s="3"/>
      <c r="H1928" s="1"/>
    </row>
    <row r="1929" spans="6:8" x14ac:dyDescent="0.25">
      <c r="F1929" s="3"/>
      <c r="H1929" s="1"/>
    </row>
    <row r="1930" spans="6:8" x14ac:dyDescent="0.25">
      <c r="F1930" s="3"/>
      <c r="H1930" s="1"/>
    </row>
    <row r="1931" spans="6:8" x14ac:dyDescent="0.25">
      <c r="F1931" s="3"/>
      <c r="H1931" s="1"/>
    </row>
    <row r="1932" spans="6:8" x14ac:dyDescent="0.25">
      <c r="F1932" s="3"/>
      <c r="H1932" s="1"/>
    </row>
    <row r="1933" spans="6:8" x14ac:dyDescent="0.25">
      <c r="F1933" s="3"/>
      <c r="H1933" s="1"/>
    </row>
    <row r="1934" spans="6:8" x14ac:dyDescent="0.25">
      <c r="F1934" s="3"/>
      <c r="H1934" s="1"/>
    </row>
    <row r="1935" spans="6:8" x14ac:dyDescent="0.25">
      <c r="F1935" s="3"/>
      <c r="H1935" s="1"/>
    </row>
    <row r="1936" spans="6:8" x14ac:dyDescent="0.25">
      <c r="F1936" s="3"/>
      <c r="H1936" s="1"/>
    </row>
    <row r="1937" spans="6:8" x14ac:dyDescent="0.25">
      <c r="F1937" s="3"/>
      <c r="H1937" s="1"/>
    </row>
    <row r="1938" spans="6:8" x14ac:dyDescent="0.25">
      <c r="F1938" s="3"/>
      <c r="H1938" s="1"/>
    </row>
    <row r="1939" spans="6:8" x14ac:dyDescent="0.25">
      <c r="F1939" s="3"/>
      <c r="H1939" s="1"/>
    </row>
    <row r="1940" spans="6:8" x14ac:dyDescent="0.25">
      <c r="F1940" s="3"/>
      <c r="H1940" s="1"/>
    </row>
    <row r="1941" spans="6:8" x14ac:dyDescent="0.25">
      <c r="F1941" s="3"/>
      <c r="H1941" s="1"/>
    </row>
    <row r="1942" spans="6:8" x14ac:dyDescent="0.25">
      <c r="F1942" s="3"/>
      <c r="H1942" s="1"/>
    </row>
    <row r="1943" spans="6:8" x14ac:dyDescent="0.25">
      <c r="F1943" s="3"/>
      <c r="H1943" s="1"/>
    </row>
    <row r="1944" spans="6:8" x14ac:dyDescent="0.25">
      <c r="F1944" s="3"/>
      <c r="H1944" s="1"/>
    </row>
    <row r="1945" spans="6:8" x14ac:dyDescent="0.25">
      <c r="F1945" s="3"/>
      <c r="H1945" s="1"/>
    </row>
    <row r="1946" spans="6:8" x14ac:dyDescent="0.25">
      <c r="F1946" s="3"/>
      <c r="H1946" s="1"/>
    </row>
    <row r="1947" spans="6:8" x14ac:dyDescent="0.25">
      <c r="F1947" s="3"/>
      <c r="H1947" s="1"/>
    </row>
    <row r="1948" spans="6:8" x14ac:dyDescent="0.25">
      <c r="F1948" s="3"/>
      <c r="H1948" s="1"/>
    </row>
    <row r="1949" spans="6:8" x14ac:dyDescent="0.25">
      <c r="F1949" s="3"/>
      <c r="H1949" s="1"/>
    </row>
    <row r="1950" spans="6:8" x14ac:dyDescent="0.25">
      <c r="F1950" s="3"/>
      <c r="H1950" s="1"/>
    </row>
    <row r="1951" spans="6:8" x14ac:dyDescent="0.25">
      <c r="F1951" s="3"/>
      <c r="H1951" s="1"/>
    </row>
    <row r="1952" spans="6:8" x14ac:dyDescent="0.25">
      <c r="F1952" s="3"/>
      <c r="H1952" s="1"/>
    </row>
    <row r="1953" spans="6:8" x14ac:dyDescent="0.25">
      <c r="F1953" s="3"/>
      <c r="H1953" s="1"/>
    </row>
    <row r="1954" spans="6:8" x14ac:dyDescent="0.25">
      <c r="F1954" s="3"/>
      <c r="H1954" s="1"/>
    </row>
    <row r="1955" spans="6:8" x14ac:dyDescent="0.25">
      <c r="F1955" s="3"/>
      <c r="H1955" s="1"/>
    </row>
    <row r="1956" spans="6:8" x14ac:dyDescent="0.25">
      <c r="F1956" s="3"/>
      <c r="H1956" s="1"/>
    </row>
    <row r="1957" spans="6:8" x14ac:dyDescent="0.25">
      <c r="F1957" s="3"/>
      <c r="H1957" s="1"/>
    </row>
    <row r="1958" spans="6:8" x14ac:dyDescent="0.25">
      <c r="F1958" s="3"/>
      <c r="H1958" s="1"/>
    </row>
    <row r="1959" spans="6:8" x14ac:dyDescent="0.25">
      <c r="F1959" s="3"/>
      <c r="H1959" s="1"/>
    </row>
    <row r="1960" spans="6:8" x14ac:dyDescent="0.25">
      <c r="F1960" s="3"/>
      <c r="H1960" s="1"/>
    </row>
    <row r="1961" spans="6:8" x14ac:dyDescent="0.25">
      <c r="F1961" s="3"/>
      <c r="H1961" s="1"/>
    </row>
    <row r="1962" spans="6:8" x14ac:dyDescent="0.25">
      <c r="F1962" s="3"/>
      <c r="H1962" s="1"/>
    </row>
    <row r="1963" spans="6:8" x14ac:dyDescent="0.25">
      <c r="F1963" s="3"/>
      <c r="H1963" s="1"/>
    </row>
    <row r="1964" spans="6:8" x14ac:dyDescent="0.25">
      <c r="F1964" s="3"/>
      <c r="H1964" s="1"/>
    </row>
    <row r="1965" spans="6:8" x14ac:dyDescent="0.25">
      <c r="F1965" s="3"/>
      <c r="H1965" s="1"/>
    </row>
    <row r="1966" spans="6:8" x14ac:dyDescent="0.25">
      <c r="F1966" s="3"/>
      <c r="H1966" s="1"/>
    </row>
    <row r="1967" spans="6:8" x14ac:dyDescent="0.25">
      <c r="F1967" s="3"/>
      <c r="H1967" s="1"/>
    </row>
    <row r="1968" spans="6:8" x14ac:dyDescent="0.25">
      <c r="F1968" s="3"/>
      <c r="H1968" s="1"/>
    </row>
    <row r="1969" spans="6:8" x14ac:dyDescent="0.25">
      <c r="F1969" s="3"/>
      <c r="H1969" s="1"/>
    </row>
    <row r="1970" spans="6:8" x14ac:dyDescent="0.25">
      <c r="F1970" s="3"/>
      <c r="H1970" s="1"/>
    </row>
    <row r="1971" spans="6:8" x14ac:dyDescent="0.25">
      <c r="F1971" s="3"/>
      <c r="H1971" s="1"/>
    </row>
    <row r="1972" spans="6:8" x14ac:dyDescent="0.25">
      <c r="F1972" s="3"/>
      <c r="H1972" s="1"/>
    </row>
    <row r="1973" spans="6:8" x14ac:dyDescent="0.25">
      <c r="F1973" s="3"/>
      <c r="H1973" s="1"/>
    </row>
    <row r="1974" spans="6:8" x14ac:dyDescent="0.25">
      <c r="F1974" s="3"/>
      <c r="H1974" s="1"/>
    </row>
    <row r="1975" spans="6:8" x14ac:dyDescent="0.25">
      <c r="F1975" s="3"/>
      <c r="H1975" s="1"/>
    </row>
    <row r="1976" spans="6:8" x14ac:dyDescent="0.25">
      <c r="F1976" s="3"/>
      <c r="H1976" s="1"/>
    </row>
    <row r="1977" spans="6:8" x14ac:dyDescent="0.25">
      <c r="F1977" s="3"/>
      <c r="H1977" s="1"/>
    </row>
    <row r="1978" spans="6:8" x14ac:dyDescent="0.25">
      <c r="F1978" s="3"/>
      <c r="H1978" s="1"/>
    </row>
    <row r="1979" spans="6:8" x14ac:dyDescent="0.25">
      <c r="F1979" s="3"/>
      <c r="H1979" s="1"/>
    </row>
    <row r="1980" spans="6:8" x14ac:dyDescent="0.25">
      <c r="F1980" s="3"/>
      <c r="H1980" s="1"/>
    </row>
    <row r="1981" spans="6:8" x14ac:dyDescent="0.25">
      <c r="F1981" s="3"/>
      <c r="H1981" s="1"/>
    </row>
    <row r="1982" spans="6:8" x14ac:dyDescent="0.25">
      <c r="F1982" s="3"/>
      <c r="H1982" s="1"/>
    </row>
    <row r="1983" spans="6:8" x14ac:dyDescent="0.25">
      <c r="F1983" s="3"/>
      <c r="H1983" s="1"/>
    </row>
    <row r="1984" spans="6:8" x14ac:dyDescent="0.25">
      <c r="F1984" s="3"/>
      <c r="H1984" s="1"/>
    </row>
    <row r="1985" spans="6:8" x14ac:dyDescent="0.25">
      <c r="F1985" s="3"/>
      <c r="H1985" s="1"/>
    </row>
    <row r="1986" spans="6:8" x14ac:dyDescent="0.25">
      <c r="F1986" s="3"/>
      <c r="H1986" s="1"/>
    </row>
    <row r="1987" spans="6:8" x14ac:dyDescent="0.25">
      <c r="F1987" s="3"/>
      <c r="H1987" s="1"/>
    </row>
    <row r="1988" spans="6:8" x14ac:dyDescent="0.25">
      <c r="F1988" s="3"/>
      <c r="H1988" s="1"/>
    </row>
    <row r="1989" spans="6:8" x14ac:dyDescent="0.25">
      <c r="F1989" s="3"/>
      <c r="H1989" s="1"/>
    </row>
    <row r="1990" spans="6:8" x14ac:dyDescent="0.25">
      <c r="F1990" s="3"/>
      <c r="H1990" s="1"/>
    </row>
    <row r="1991" spans="6:8" x14ac:dyDescent="0.25">
      <c r="F1991" s="3"/>
      <c r="H1991" s="1"/>
    </row>
    <row r="1992" spans="6:8" x14ac:dyDescent="0.25">
      <c r="F1992" s="3"/>
      <c r="H1992" s="1"/>
    </row>
    <row r="1993" spans="6:8" x14ac:dyDescent="0.25">
      <c r="F1993" s="3"/>
      <c r="H1993" s="1"/>
    </row>
    <row r="1994" spans="6:8" x14ac:dyDescent="0.25">
      <c r="F1994" s="3"/>
      <c r="H1994" s="1"/>
    </row>
    <row r="1995" spans="6:8" x14ac:dyDescent="0.25">
      <c r="F1995" s="3"/>
      <c r="H1995" s="1"/>
    </row>
    <row r="1996" spans="6:8" x14ac:dyDescent="0.25">
      <c r="F1996" s="3"/>
      <c r="H1996" s="1"/>
    </row>
    <row r="1997" spans="6:8" x14ac:dyDescent="0.25">
      <c r="F1997" s="3"/>
      <c r="H1997" s="1"/>
    </row>
    <row r="1998" spans="6:8" x14ac:dyDescent="0.25">
      <c r="F1998" s="3"/>
      <c r="H1998" s="1"/>
    </row>
    <row r="1999" spans="6:8" x14ac:dyDescent="0.25">
      <c r="F1999" s="3"/>
      <c r="H1999" s="1"/>
    </row>
    <row r="2000" spans="6:8" x14ac:dyDescent="0.25">
      <c r="F2000" s="3"/>
      <c r="H2000" s="1"/>
    </row>
    <row r="2001" spans="6:8" x14ac:dyDescent="0.25">
      <c r="F2001" s="3"/>
      <c r="H2001" s="1"/>
    </row>
    <row r="2002" spans="6:8" x14ac:dyDescent="0.25">
      <c r="F2002" s="3"/>
      <c r="H2002" s="1"/>
    </row>
    <row r="2003" spans="6:8" x14ac:dyDescent="0.25">
      <c r="F2003" s="3"/>
      <c r="H2003" s="1"/>
    </row>
    <row r="2004" spans="6:8" x14ac:dyDescent="0.25">
      <c r="F2004" s="3"/>
      <c r="H2004" s="1"/>
    </row>
    <row r="2005" spans="6:8" x14ac:dyDescent="0.25">
      <c r="F2005" s="3"/>
      <c r="H2005" s="1"/>
    </row>
    <row r="2006" spans="6:8" x14ac:dyDescent="0.25">
      <c r="F2006" s="3"/>
      <c r="H2006" s="1"/>
    </row>
    <row r="2007" spans="6:8" x14ac:dyDescent="0.25">
      <c r="F2007" s="3"/>
      <c r="H2007" s="1"/>
    </row>
    <row r="2008" spans="6:8" x14ac:dyDescent="0.25">
      <c r="F2008" s="3"/>
      <c r="H2008" s="1"/>
    </row>
    <row r="2009" spans="6:8" x14ac:dyDescent="0.25">
      <c r="F2009" s="3"/>
      <c r="H2009" s="1"/>
    </row>
    <row r="2010" spans="6:8" x14ac:dyDescent="0.25">
      <c r="F2010" s="3"/>
      <c r="H2010" s="1"/>
    </row>
    <row r="2011" spans="6:8" x14ac:dyDescent="0.25">
      <c r="F2011" s="3"/>
      <c r="H2011" s="1"/>
    </row>
    <row r="2012" spans="6:8" x14ac:dyDescent="0.25">
      <c r="F2012" s="3"/>
      <c r="H2012" s="1"/>
    </row>
    <row r="2013" spans="6:8" x14ac:dyDescent="0.25">
      <c r="F2013" s="3"/>
      <c r="H2013" s="1"/>
    </row>
    <row r="2014" spans="6:8" x14ac:dyDescent="0.25">
      <c r="F2014" s="3"/>
      <c r="H2014" s="1"/>
    </row>
    <row r="2015" spans="6:8" x14ac:dyDescent="0.25">
      <c r="F2015" s="3"/>
      <c r="H2015" s="1"/>
    </row>
    <row r="2016" spans="6:8" x14ac:dyDescent="0.25">
      <c r="F2016" s="3"/>
      <c r="H2016" s="1"/>
    </row>
    <row r="2017" spans="6:8" x14ac:dyDescent="0.25">
      <c r="F2017" s="3"/>
      <c r="H2017" s="1"/>
    </row>
    <row r="2018" spans="6:8" x14ac:dyDescent="0.25">
      <c r="F2018" s="3"/>
      <c r="H2018" s="1"/>
    </row>
    <row r="2019" spans="6:8" x14ac:dyDescent="0.25">
      <c r="F2019" s="3"/>
      <c r="H2019" s="1"/>
    </row>
    <row r="2020" spans="6:8" x14ac:dyDescent="0.25">
      <c r="F2020" s="3"/>
      <c r="H2020" s="1"/>
    </row>
    <row r="2021" spans="6:8" x14ac:dyDescent="0.25">
      <c r="F2021" s="3"/>
      <c r="H2021" s="1"/>
    </row>
    <row r="2022" spans="6:8" x14ac:dyDescent="0.25">
      <c r="F2022" s="3"/>
      <c r="H2022" s="1"/>
    </row>
    <row r="2023" spans="6:8" x14ac:dyDescent="0.25">
      <c r="F2023" s="3"/>
      <c r="H2023" s="1"/>
    </row>
    <row r="2024" spans="6:8" x14ac:dyDescent="0.25">
      <c r="F2024" s="3"/>
      <c r="H2024" s="1"/>
    </row>
    <row r="2025" spans="6:8" x14ac:dyDescent="0.25">
      <c r="F2025" s="3"/>
      <c r="H2025" s="1"/>
    </row>
    <row r="2026" spans="6:8" x14ac:dyDescent="0.25">
      <c r="F2026" s="3"/>
      <c r="H2026" s="1"/>
    </row>
    <row r="2027" spans="6:8" x14ac:dyDescent="0.25">
      <c r="F2027" s="3"/>
      <c r="H2027" s="1"/>
    </row>
    <row r="2028" spans="6:8" x14ac:dyDescent="0.25">
      <c r="F2028" s="3"/>
      <c r="H2028" s="1"/>
    </row>
    <row r="2029" spans="6:8" x14ac:dyDescent="0.25">
      <c r="F2029" s="3"/>
      <c r="H2029" s="1"/>
    </row>
    <row r="2030" spans="6:8" x14ac:dyDescent="0.25">
      <c r="F2030" s="3"/>
      <c r="H2030" s="1"/>
    </row>
    <row r="2031" spans="6:8" x14ac:dyDescent="0.25">
      <c r="F2031" s="3"/>
      <c r="H2031" s="1"/>
    </row>
    <row r="2032" spans="6:8" x14ac:dyDescent="0.25">
      <c r="F2032" s="3"/>
      <c r="H2032" s="1"/>
    </row>
    <row r="2033" spans="6:8" x14ac:dyDescent="0.25">
      <c r="F2033" s="3"/>
      <c r="H2033" s="1"/>
    </row>
    <row r="2034" spans="6:8" x14ac:dyDescent="0.25">
      <c r="F2034" s="3"/>
      <c r="H2034" s="1"/>
    </row>
    <row r="2035" spans="6:8" x14ac:dyDescent="0.25">
      <c r="F2035" s="3"/>
      <c r="H2035" s="1"/>
    </row>
    <row r="2036" spans="6:8" x14ac:dyDescent="0.25">
      <c r="F2036" s="3"/>
      <c r="H2036" s="1"/>
    </row>
    <row r="2037" spans="6:8" x14ac:dyDescent="0.25">
      <c r="F2037" s="3"/>
      <c r="H2037" s="1"/>
    </row>
    <row r="2038" spans="6:8" x14ac:dyDescent="0.25">
      <c r="F2038" s="3"/>
      <c r="H2038" s="1"/>
    </row>
    <row r="2039" spans="6:8" x14ac:dyDescent="0.25">
      <c r="F2039" s="3"/>
      <c r="H2039" s="1"/>
    </row>
    <row r="2040" spans="6:8" x14ac:dyDescent="0.25">
      <c r="F2040" s="3"/>
      <c r="H2040" s="1"/>
    </row>
    <row r="2041" spans="6:8" x14ac:dyDescent="0.25">
      <c r="F2041" s="3"/>
      <c r="H2041" s="1"/>
    </row>
    <row r="2042" spans="6:8" x14ac:dyDescent="0.25">
      <c r="F2042" s="3"/>
      <c r="H2042" s="1"/>
    </row>
    <row r="2043" spans="6:8" x14ac:dyDescent="0.25">
      <c r="F2043" s="3"/>
      <c r="H2043" s="1"/>
    </row>
    <row r="2044" spans="6:8" x14ac:dyDescent="0.25">
      <c r="F2044" s="3"/>
      <c r="H2044" s="1"/>
    </row>
    <row r="2045" spans="6:8" x14ac:dyDescent="0.25">
      <c r="F2045" s="3"/>
      <c r="H2045" s="1"/>
    </row>
    <row r="2046" spans="6:8" x14ac:dyDescent="0.25">
      <c r="F2046" s="3"/>
      <c r="H2046" s="1"/>
    </row>
    <row r="2047" spans="6:8" x14ac:dyDescent="0.25">
      <c r="F2047" s="3"/>
      <c r="H2047" s="1"/>
    </row>
    <row r="2048" spans="6:8" x14ac:dyDescent="0.25">
      <c r="F2048" s="3"/>
      <c r="H2048" s="1"/>
    </row>
    <row r="2049" spans="6:8" x14ac:dyDescent="0.25">
      <c r="F2049" s="3"/>
      <c r="H2049" s="1"/>
    </row>
    <row r="2050" spans="6:8" x14ac:dyDescent="0.25">
      <c r="F2050" s="3"/>
      <c r="H2050" s="1"/>
    </row>
    <row r="2051" spans="6:8" x14ac:dyDescent="0.25">
      <c r="F2051" s="3"/>
      <c r="H2051" s="1"/>
    </row>
    <row r="2052" spans="6:8" x14ac:dyDescent="0.25">
      <c r="F2052" s="3"/>
      <c r="H2052" s="1"/>
    </row>
    <row r="2053" spans="6:8" x14ac:dyDescent="0.25">
      <c r="F2053" s="3"/>
      <c r="H2053" s="1"/>
    </row>
    <row r="2054" spans="6:8" x14ac:dyDescent="0.25">
      <c r="F2054" s="3"/>
      <c r="H2054" s="1"/>
    </row>
    <row r="2055" spans="6:8" x14ac:dyDescent="0.25">
      <c r="F2055" s="3"/>
      <c r="H2055" s="1"/>
    </row>
    <row r="2056" spans="6:8" x14ac:dyDescent="0.25">
      <c r="F2056" s="3"/>
      <c r="H2056" s="1"/>
    </row>
    <row r="2057" spans="6:8" x14ac:dyDescent="0.25">
      <c r="F2057" s="3"/>
      <c r="H2057" s="1"/>
    </row>
    <row r="2058" spans="6:8" x14ac:dyDescent="0.25">
      <c r="F2058" s="3"/>
      <c r="H2058" s="1"/>
    </row>
    <row r="2059" spans="6:8" x14ac:dyDescent="0.25">
      <c r="F2059" s="3"/>
      <c r="H2059" s="1"/>
    </row>
    <row r="2060" spans="6:8" x14ac:dyDescent="0.25">
      <c r="F2060" s="3"/>
      <c r="H2060" s="1"/>
    </row>
    <row r="2061" spans="6:8" x14ac:dyDescent="0.25">
      <c r="F2061" s="3"/>
      <c r="H2061" s="1"/>
    </row>
    <row r="2062" spans="6:8" x14ac:dyDescent="0.25">
      <c r="F2062" s="3"/>
      <c r="H2062" s="1"/>
    </row>
    <row r="2063" spans="6:8" x14ac:dyDescent="0.25">
      <c r="F2063" s="3"/>
      <c r="H2063" s="1"/>
    </row>
    <row r="2064" spans="6:8" x14ac:dyDescent="0.25">
      <c r="F2064" s="3"/>
      <c r="H2064" s="1"/>
    </row>
    <row r="2065" spans="6:8" x14ac:dyDescent="0.25">
      <c r="F2065" s="3"/>
      <c r="H2065" s="1"/>
    </row>
    <row r="2066" spans="6:8" x14ac:dyDescent="0.25">
      <c r="F2066" s="3"/>
      <c r="H2066" s="1"/>
    </row>
    <row r="2067" spans="6:8" x14ac:dyDescent="0.25">
      <c r="F2067" s="3"/>
      <c r="H2067" s="1"/>
    </row>
    <row r="2068" spans="6:8" x14ac:dyDescent="0.25">
      <c r="F2068" s="3"/>
      <c r="H2068" s="1"/>
    </row>
    <row r="2069" spans="6:8" x14ac:dyDescent="0.25">
      <c r="F2069" s="3"/>
      <c r="H2069" s="1"/>
    </row>
    <row r="2070" spans="6:8" x14ac:dyDescent="0.25">
      <c r="F2070" s="3"/>
      <c r="H2070" s="1"/>
    </row>
    <row r="2071" spans="6:8" x14ac:dyDescent="0.25">
      <c r="F2071" s="3"/>
      <c r="H2071" s="1"/>
    </row>
    <row r="2072" spans="6:8" x14ac:dyDescent="0.25">
      <c r="F2072" s="3"/>
      <c r="H2072" s="1"/>
    </row>
    <row r="2073" spans="6:8" x14ac:dyDescent="0.25">
      <c r="F2073" s="3"/>
      <c r="H2073" s="1"/>
    </row>
    <row r="2074" spans="6:8" x14ac:dyDescent="0.25">
      <c r="F2074" s="3"/>
      <c r="H2074" s="1"/>
    </row>
    <row r="2075" spans="6:8" x14ac:dyDescent="0.25">
      <c r="F2075" s="3"/>
      <c r="H2075" s="1"/>
    </row>
    <row r="2076" spans="6:8" x14ac:dyDescent="0.25">
      <c r="F2076" s="3"/>
      <c r="H2076" s="1"/>
    </row>
    <row r="2077" spans="6:8" x14ac:dyDescent="0.25">
      <c r="F2077" s="3"/>
      <c r="H2077" s="1"/>
    </row>
    <row r="2078" spans="6:8" x14ac:dyDescent="0.25">
      <c r="F2078" s="3"/>
      <c r="H2078" s="1"/>
    </row>
    <row r="2079" spans="6:8" x14ac:dyDescent="0.25">
      <c r="F2079" s="3"/>
      <c r="H2079" s="1"/>
    </row>
    <row r="2080" spans="6:8" x14ac:dyDescent="0.25">
      <c r="F2080" s="3"/>
      <c r="H2080" s="1"/>
    </row>
    <row r="2081" spans="6:8" x14ac:dyDescent="0.25">
      <c r="F2081" s="3"/>
      <c r="H2081" s="1"/>
    </row>
    <row r="2082" spans="6:8" x14ac:dyDescent="0.25">
      <c r="F2082" s="3"/>
      <c r="H2082" s="1"/>
    </row>
    <row r="2083" spans="6:8" x14ac:dyDescent="0.25">
      <c r="F2083" s="3"/>
      <c r="H2083" s="1"/>
    </row>
    <row r="2084" spans="6:8" x14ac:dyDescent="0.25">
      <c r="F2084" s="3"/>
      <c r="H2084" s="1"/>
    </row>
    <row r="2085" spans="6:8" x14ac:dyDescent="0.25">
      <c r="F2085" s="3"/>
      <c r="H2085" s="1"/>
    </row>
    <row r="2086" spans="6:8" x14ac:dyDescent="0.25">
      <c r="F2086" s="3"/>
      <c r="H2086" s="1"/>
    </row>
    <row r="2087" spans="6:8" x14ac:dyDescent="0.25">
      <c r="F2087" s="3"/>
      <c r="H2087" s="1"/>
    </row>
    <row r="2088" spans="6:8" x14ac:dyDescent="0.25">
      <c r="F2088" s="3"/>
      <c r="H2088" s="1"/>
    </row>
    <row r="2089" spans="6:8" x14ac:dyDescent="0.25">
      <c r="F2089" s="3"/>
      <c r="H2089" s="1"/>
    </row>
    <row r="2090" spans="6:8" x14ac:dyDescent="0.25">
      <c r="F2090" s="3"/>
      <c r="H2090" s="1"/>
    </row>
    <row r="2091" spans="6:8" x14ac:dyDescent="0.25">
      <c r="F2091" s="3"/>
      <c r="H2091" s="1"/>
    </row>
    <row r="2092" spans="6:8" x14ac:dyDescent="0.25">
      <c r="F2092" s="3"/>
      <c r="H2092" s="1"/>
    </row>
    <row r="2093" spans="6:8" x14ac:dyDescent="0.25">
      <c r="F2093" s="3"/>
      <c r="H2093" s="1"/>
    </row>
    <row r="2094" spans="6:8" x14ac:dyDescent="0.25">
      <c r="F2094" s="3"/>
      <c r="H2094" s="1"/>
    </row>
    <row r="2095" spans="6:8" x14ac:dyDescent="0.25">
      <c r="F2095" s="3"/>
      <c r="H2095" s="1"/>
    </row>
    <row r="2096" spans="6:8" x14ac:dyDescent="0.25">
      <c r="F2096" s="3"/>
      <c r="H2096" s="1"/>
    </row>
    <row r="2097" spans="6:8" x14ac:dyDescent="0.25">
      <c r="F2097" s="3"/>
      <c r="H2097" s="1"/>
    </row>
    <row r="2098" spans="6:8" x14ac:dyDescent="0.25">
      <c r="F2098" s="3"/>
      <c r="H2098" s="1"/>
    </row>
    <row r="2099" spans="6:8" x14ac:dyDescent="0.25">
      <c r="F2099" s="3"/>
      <c r="H2099" s="1"/>
    </row>
    <row r="2100" spans="6:8" x14ac:dyDescent="0.25">
      <c r="F2100" s="3"/>
      <c r="H2100" s="1"/>
    </row>
    <row r="2101" spans="6:8" x14ac:dyDescent="0.25">
      <c r="F2101" s="3"/>
      <c r="H2101" s="1"/>
    </row>
    <row r="2102" spans="6:8" x14ac:dyDescent="0.25">
      <c r="F2102" s="3"/>
      <c r="H2102" s="1"/>
    </row>
    <row r="2103" spans="6:8" x14ac:dyDescent="0.25">
      <c r="F2103" s="3"/>
      <c r="H2103" s="1"/>
    </row>
    <row r="2104" spans="6:8" x14ac:dyDescent="0.25">
      <c r="F2104" s="3"/>
      <c r="H2104" s="1"/>
    </row>
    <row r="2105" spans="6:8" x14ac:dyDescent="0.25">
      <c r="F2105" s="3"/>
      <c r="H2105" s="1"/>
    </row>
    <row r="2106" spans="6:8" x14ac:dyDescent="0.25">
      <c r="F2106" s="3"/>
      <c r="H2106" s="1"/>
    </row>
    <row r="2107" spans="6:8" x14ac:dyDescent="0.25">
      <c r="F2107" s="3"/>
      <c r="H2107" s="1"/>
    </row>
    <row r="2108" spans="6:8" x14ac:dyDescent="0.25">
      <c r="F2108" s="3"/>
      <c r="H2108" s="1"/>
    </row>
    <row r="2109" spans="6:8" x14ac:dyDescent="0.25">
      <c r="F2109" s="3"/>
      <c r="H2109" s="1"/>
    </row>
    <row r="2110" spans="6:8" x14ac:dyDescent="0.25">
      <c r="F2110" s="3"/>
      <c r="H2110" s="1"/>
    </row>
    <row r="2111" spans="6:8" x14ac:dyDescent="0.25">
      <c r="F2111" s="3"/>
      <c r="H2111" s="1"/>
    </row>
    <row r="2112" spans="6:8" x14ac:dyDescent="0.25">
      <c r="F2112" s="3"/>
      <c r="H2112" s="1"/>
    </row>
    <row r="2113" spans="6:8" x14ac:dyDescent="0.25">
      <c r="F2113" s="3"/>
      <c r="H2113" s="1"/>
    </row>
    <row r="2114" spans="6:8" x14ac:dyDescent="0.25">
      <c r="F2114" s="3"/>
      <c r="H2114" s="1"/>
    </row>
    <row r="2115" spans="6:8" x14ac:dyDescent="0.25">
      <c r="F2115" s="3"/>
      <c r="H2115" s="1"/>
    </row>
    <row r="2116" spans="6:8" x14ac:dyDescent="0.25">
      <c r="F2116" s="3"/>
      <c r="H2116" s="1"/>
    </row>
    <row r="2117" spans="6:8" x14ac:dyDescent="0.25">
      <c r="F2117" s="3"/>
      <c r="H2117" s="1"/>
    </row>
    <row r="2118" spans="6:8" x14ac:dyDescent="0.25">
      <c r="F2118" s="3"/>
      <c r="H2118" s="1"/>
    </row>
    <row r="2119" spans="6:8" x14ac:dyDescent="0.25">
      <c r="F2119" s="3"/>
      <c r="H2119" s="1"/>
    </row>
    <row r="2120" spans="6:8" x14ac:dyDescent="0.25">
      <c r="F2120" s="3"/>
      <c r="H2120" s="1"/>
    </row>
    <row r="2121" spans="6:8" x14ac:dyDescent="0.25">
      <c r="F2121" s="3"/>
      <c r="H2121" s="1"/>
    </row>
    <row r="2122" spans="6:8" x14ac:dyDescent="0.25">
      <c r="F2122" s="3"/>
      <c r="H2122" s="1"/>
    </row>
    <row r="2123" spans="6:8" x14ac:dyDescent="0.25">
      <c r="F2123" s="3"/>
      <c r="H2123" s="1"/>
    </row>
    <row r="2124" spans="6:8" x14ac:dyDescent="0.25">
      <c r="F2124" s="3"/>
      <c r="H2124" s="1"/>
    </row>
    <row r="2125" spans="6:8" x14ac:dyDescent="0.25">
      <c r="F2125" s="3"/>
      <c r="H2125" s="1"/>
    </row>
    <row r="2126" spans="6:8" x14ac:dyDescent="0.25">
      <c r="F2126" s="3"/>
      <c r="H2126" s="1"/>
    </row>
    <row r="2127" spans="6:8" x14ac:dyDescent="0.25">
      <c r="F2127" s="3"/>
      <c r="H2127" s="1"/>
    </row>
    <row r="2128" spans="6:8" x14ac:dyDescent="0.25">
      <c r="F2128" s="3"/>
      <c r="H2128" s="1"/>
    </row>
    <row r="2129" spans="6:8" x14ac:dyDescent="0.25">
      <c r="F2129" s="3"/>
      <c r="H2129" s="1"/>
    </row>
    <row r="2130" spans="6:8" x14ac:dyDescent="0.25">
      <c r="F2130" s="3"/>
      <c r="H2130" s="1"/>
    </row>
    <row r="2131" spans="6:8" x14ac:dyDescent="0.25">
      <c r="F2131" s="3"/>
      <c r="H2131" s="1"/>
    </row>
    <row r="2132" spans="6:8" x14ac:dyDescent="0.25">
      <c r="F2132" s="3"/>
      <c r="H2132" s="1"/>
    </row>
    <row r="2133" spans="6:8" x14ac:dyDescent="0.25">
      <c r="F2133" s="3"/>
      <c r="H2133" s="1"/>
    </row>
    <row r="2134" spans="6:8" x14ac:dyDescent="0.25">
      <c r="F2134" s="3"/>
      <c r="H2134" s="1"/>
    </row>
    <row r="2135" spans="6:8" x14ac:dyDescent="0.25">
      <c r="F2135" s="3"/>
      <c r="H2135" s="1"/>
    </row>
    <row r="2136" spans="6:8" x14ac:dyDescent="0.25">
      <c r="F2136" s="3"/>
      <c r="H2136" s="1"/>
    </row>
    <row r="2137" spans="6:8" x14ac:dyDescent="0.25">
      <c r="F2137" s="3"/>
      <c r="H2137" s="1"/>
    </row>
    <row r="2138" spans="6:8" x14ac:dyDescent="0.25">
      <c r="F2138" s="3"/>
      <c r="H2138" s="1"/>
    </row>
    <row r="2139" spans="6:8" x14ac:dyDescent="0.25">
      <c r="F2139" s="3"/>
      <c r="H2139" s="1"/>
    </row>
    <row r="2140" spans="6:8" x14ac:dyDescent="0.25">
      <c r="F2140" s="3"/>
      <c r="H2140" s="1"/>
    </row>
    <row r="2141" spans="6:8" x14ac:dyDescent="0.25">
      <c r="F2141" s="3"/>
      <c r="H2141" s="1"/>
    </row>
    <row r="2142" spans="6:8" x14ac:dyDescent="0.25">
      <c r="F2142" s="3"/>
      <c r="H2142" s="1"/>
    </row>
    <row r="2143" spans="6:8" x14ac:dyDescent="0.25">
      <c r="F2143" s="3"/>
      <c r="H2143" s="1"/>
    </row>
    <row r="2144" spans="6:8" x14ac:dyDescent="0.25">
      <c r="F2144" s="3"/>
      <c r="H2144" s="1"/>
    </row>
    <row r="2145" spans="6:8" x14ac:dyDescent="0.25">
      <c r="F2145" s="3"/>
      <c r="H2145" s="1"/>
    </row>
    <row r="2146" spans="6:8" x14ac:dyDescent="0.25">
      <c r="F2146" s="3"/>
      <c r="H2146" s="1"/>
    </row>
    <row r="2147" spans="6:8" x14ac:dyDescent="0.25">
      <c r="F2147" s="3"/>
      <c r="H2147" s="1"/>
    </row>
    <row r="2148" spans="6:8" x14ac:dyDescent="0.25">
      <c r="F2148" s="3"/>
      <c r="H2148" s="1"/>
    </row>
    <row r="2149" spans="6:8" x14ac:dyDescent="0.25">
      <c r="F2149" s="3"/>
      <c r="H2149" s="1"/>
    </row>
    <row r="2150" spans="6:8" x14ac:dyDescent="0.25">
      <c r="F2150" s="3"/>
      <c r="H2150" s="1"/>
    </row>
    <row r="2151" spans="6:8" x14ac:dyDescent="0.25">
      <c r="F2151" s="3"/>
      <c r="H2151" s="1"/>
    </row>
    <row r="2152" spans="6:8" x14ac:dyDescent="0.25">
      <c r="F2152" s="3"/>
      <c r="H2152" s="1"/>
    </row>
    <row r="2153" spans="6:8" x14ac:dyDescent="0.25">
      <c r="F2153" s="3"/>
      <c r="H2153" s="1"/>
    </row>
    <row r="2154" spans="6:8" x14ac:dyDescent="0.25">
      <c r="F2154" s="3"/>
      <c r="H2154" s="1"/>
    </row>
    <row r="2155" spans="6:8" x14ac:dyDescent="0.25">
      <c r="F2155" s="3"/>
      <c r="H2155" s="1"/>
    </row>
    <row r="2156" spans="6:8" x14ac:dyDescent="0.25">
      <c r="F2156" s="3"/>
      <c r="H2156" s="1"/>
    </row>
    <row r="2157" spans="6:8" x14ac:dyDescent="0.25">
      <c r="F2157" s="3"/>
      <c r="H2157" s="1"/>
    </row>
    <row r="2158" spans="6:8" x14ac:dyDescent="0.25">
      <c r="F2158" s="3"/>
      <c r="H2158" s="1"/>
    </row>
    <row r="2159" spans="6:8" x14ac:dyDescent="0.25">
      <c r="F2159" s="3"/>
      <c r="H2159" s="1"/>
    </row>
    <row r="2160" spans="6:8" x14ac:dyDescent="0.25">
      <c r="F2160" s="3"/>
      <c r="H2160" s="1"/>
    </row>
    <row r="2161" spans="6:8" x14ac:dyDescent="0.25">
      <c r="F2161" s="3"/>
      <c r="H2161" s="1"/>
    </row>
    <row r="2162" spans="6:8" x14ac:dyDescent="0.25">
      <c r="F2162" s="3"/>
      <c r="H2162" s="1"/>
    </row>
    <row r="2163" spans="6:8" x14ac:dyDescent="0.25">
      <c r="F2163" s="3"/>
      <c r="H2163" s="1"/>
    </row>
    <row r="2164" spans="6:8" x14ac:dyDescent="0.25">
      <c r="F2164" s="3"/>
      <c r="H2164" s="1"/>
    </row>
    <row r="2165" spans="6:8" x14ac:dyDescent="0.25">
      <c r="F2165" s="3"/>
      <c r="H2165" s="1"/>
    </row>
    <row r="2166" spans="6:8" x14ac:dyDescent="0.25">
      <c r="F2166" s="3"/>
      <c r="H2166" s="1"/>
    </row>
    <row r="2167" spans="6:8" x14ac:dyDescent="0.25">
      <c r="F2167" s="3"/>
      <c r="H2167" s="1"/>
    </row>
    <row r="2168" spans="6:8" x14ac:dyDescent="0.25">
      <c r="F2168" s="3"/>
      <c r="H2168" s="1"/>
    </row>
    <row r="2169" spans="6:8" x14ac:dyDescent="0.25">
      <c r="F2169" s="3"/>
      <c r="H2169" s="1"/>
    </row>
    <row r="2170" spans="6:8" x14ac:dyDescent="0.25">
      <c r="F2170" s="3"/>
      <c r="H2170" s="1"/>
    </row>
    <row r="2171" spans="6:8" x14ac:dyDescent="0.25">
      <c r="F2171" s="3"/>
      <c r="H2171" s="1"/>
    </row>
    <row r="2172" spans="6:8" x14ac:dyDescent="0.25">
      <c r="F2172" s="3"/>
      <c r="H2172" s="1"/>
    </row>
    <row r="2173" spans="6:8" x14ac:dyDescent="0.25">
      <c r="F2173" s="3"/>
      <c r="H2173" s="1"/>
    </row>
    <row r="2174" spans="6:8" x14ac:dyDescent="0.25">
      <c r="F2174" s="3"/>
      <c r="H2174" s="1"/>
    </row>
    <row r="2175" spans="6:8" x14ac:dyDescent="0.25">
      <c r="F2175" s="3"/>
      <c r="H2175" s="1"/>
    </row>
    <row r="2176" spans="6:8" x14ac:dyDescent="0.25">
      <c r="F2176" s="3"/>
      <c r="H2176" s="1"/>
    </row>
    <row r="2177" spans="6:8" x14ac:dyDescent="0.25">
      <c r="F2177" s="3"/>
      <c r="H2177" s="1"/>
    </row>
    <row r="2178" spans="6:8" x14ac:dyDescent="0.25">
      <c r="F2178" s="3"/>
      <c r="H2178" s="1"/>
    </row>
    <row r="2179" spans="6:8" x14ac:dyDescent="0.25">
      <c r="F2179" s="3"/>
      <c r="H2179" s="1"/>
    </row>
    <row r="2180" spans="6:8" x14ac:dyDescent="0.25">
      <c r="F2180" s="3"/>
      <c r="H2180" s="1"/>
    </row>
    <row r="2181" spans="6:8" x14ac:dyDescent="0.25">
      <c r="F2181" s="3"/>
      <c r="H2181" s="1"/>
    </row>
    <row r="2182" spans="6:8" x14ac:dyDescent="0.25">
      <c r="F2182" s="3"/>
      <c r="H2182" s="1"/>
    </row>
    <row r="2183" spans="6:8" x14ac:dyDescent="0.25">
      <c r="F2183" s="3"/>
      <c r="H2183" s="1"/>
    </row>
    <row r="2184" spans="6:8" x14ac:dyDescent="0.25">
      <c r="F2184" s="3"/>
      <c r="H2184" s="1"/>
    </row>
    <row r="2185" spans="6:8" x14ac:dyDescent="0.25">
      <c r="F2185" s="3"/>
      <c r="H2185" s="1"/>
    </row>
    <row r="2186" spans="6:8" x14ac:dyDescent="0.25">
      <c r="F2186" s="3"/>
      <c r="H2186" s="1"/>
    </row>
    <row r="2187" spans="6:8" x14ac:dyDescent="0.25">
      <c r="F2187" s="3"/>
      <c r="H2187" s="1"/>
    </row>
    <row r="2188" spans="6:8" x14ac:dyDescent="0.25">
      <c r="F2188" s="3"/>
      <c r="H2188" s="1"/>
    </row>
    <row r="2189" spans="6:8" x14ac:dyDescent="0.25">
      <c r="F2189" s="3"/>
      <c r="H2189" s="1"/>
    </row>
    <row r="2190" spans="6:8" x14ac:dyDescent="0.25">
      <c r="F2190" s="3"/>
      <c r="H2190" s="1"/>
    </row>
    <row r="2191" spans="6:8" x14ac:dyDescent="0.25">
      <c r="F2191" s="3"/>
      <c r="H2191" s="1"/>
    </row>
    <row r="2192" spans="6:8" x14ac:dyDescent="0.25">
      <c r="F2192" s="3"/>
      <c r="H2192" s="1"/>
    </row>
    <row r="2193" spans="6:8" x14ac:dyDescent="0.25">
      <c r="F2193" s="3"/>
      <c r="H2193" s="1"/>
    </row>
    <row r="2194" spans="6:8" x14ac:dyDescent="0.25">
      <c r="F2194" s="3"/>
      <c r="H2194" s="1"/>
    </row>
    <row r="2195" spans="6:8" x14ac:dyDescent="0.25">
      <c r="F2195" s="3"/>
      <c r="H2195" s="1"/>
    </row>
    <row r="2196" spans="6:8" x14ac:dyDescent="0.25">
      <c r="F2196" s="3"/>
      <c r="H2196" s="1"/>
    </row>
    <row r="2197" spans="6:8" x14ac:dyDescent="0.25">
      <c r="F2197" s="3"/>
      <c r="H2197" s="1"/>
    </row>
    <row r="2198" spans="6:8" x14ac:dyDescent="0.25">
      <c r="F2198" s="3"/>
      <c r="H2198" s="1"/>
    </row>
    <row r="2199" spans="6:8" x14ac:dyDescent="0.25">
      <c r="F2199" s="3"/>
      <c r="H2199" s="1"/>
    </row>
    <row r="2200" spans="6:8" x14ac:dyDescent="0.25">
      <c r="F2200" s="3"/>
      <c r="H2200" s="1"/>
    </row>
    <row r="2201" spans="6:8" x14ac:dyDescent="0.25">
      <c r="F2201" s="3"/>
      <c r="H2201" s="1"/>
    </row>
    <row r="2202" spans="6:8" x14ac:dyDescent="0.25">
      <c r="F2202" s="3"/>
      <c r="H2202" s="1"/>
    </row>
    <row r="2203" spans="6:8" x14ac:dyDescent="0.25">
      <c r="F2203" s="3"/>
      <c r="H2203" s="1"/>
    </row>
    <row r="2204" spans="6:8" x14ac:dyDescent="0.25">
      <c r="F2204" s="3"/>
      <c r="H2204" s="1"/>
    </row>
    <row r="2205" spans="6:8" x14ac:dyDescent="0.25">
      <c r="F2205" s="3"/>
      <c r="H2205" s="1"/>
    </row>
    <row r="2206" spans="6:8" x14ac:dyDescent="0.25">
      <c r="F2206" s="3"/>
      <c r="H2206" s="1"/>
    </row>
    <row r="2207" spans="6:8" x14ac:dyDescent="0.25">
      <c r="F2207" s="3"/>
      <c r="H2207" s="1"/>
    </row>
    <row r="2208" spans="6:8" x14ac:dyDescent="0.25">
      <c r="F2208" s="3"/>
      <c r="H2208" s="1"/>
    </row>
    <row r="2209" spans="6:8" x14ac:dyDescent="0.25">
      <c r="F2209" s="3"/>
      <c r="H2209" s="1"/>
    </row>
    <row r="2210" spans="6:8" x14ac:dyDescent="0.25">
      <c r="F2210" s="3"/>
      <c r="H2210" s="1"/>
    </row>
    <row r="2211" spans="6:8" x14ac:dyDescent="0.25">
      <c r="F2211" s="3"/>
      <c r="H2211" s="1"/>
    </row>
    <row r="2212" spans="6:8" x14ac:dyDescent="0.25">
      <c r="F2212" s="3"/>
      <c r="H2212" s="1"/>
    </row>
    <row r="2213" spans="6:8" x14ac:dyDescent="0.25">
      <c r="F2213" s="3"/>
      <c r="H2213" s="1"/>
    </row>
    <row r="2214" spans="6:8" x14ac:dyDescent="0.25">
      <c r="F2214" s="3"/>
      <c r="H2214" s="1"/>
    </row>
    <row r="2215" spans="6:8" x14ac:dyDescent="0.25">
      <c r="F2215" s="3"/>
      <c r="H2215" s="1"/>
    </row>
    <row r="2216" spans="6:8" x14ac:dyDescent="0.25">
      <c r="F2216" s="3"/>
      <c r="H2216" s="1"/>
    </row>
    <row r="2217" spans="6:8" x14ac:dyDescent="0.25">
      <c r="F2217" s="3"/>
      <c r="H2217" s="1"/>
    </row>
    <row r="2218" spans="6:8" x14ac:dyDescent="0.25">
      <c r="F2218" s="3"/>
      <c r="H2218" s="1"/>
    </row>
    <row r="2219" spans="6:8" x14ac:dyDescent="0.25">
      <c r="F2219" s="3"/>
      <c r="H2219" s="1"/>
    </row>
    <row r="2220" spans="6:8" x14ac:dyDescent="0.25">
      <c r="F2220" s="3"/>
      <c r="H2220" s="1"/>
    </row>
    <row r="2221" spans="6:8" x14ac:dyDescent="0.25">
      <c r="F2221" s="3"/>
      <c r="H2221" s="1"/>
    </row>
    <row r="2222" spans="6:8" x14ac:dyDescent="0.25">
      <c r="F2222" s="3"/>
      <c r="H2222" s="1"/>
    </row>
    <row r="2223" spans="6:8" x14ac:dyDescent="0.25">
      <c r="F2223" s="3"/>
      <c r="H2223" s="1"/>
    </row>
    <row r="2224" spans="6:8" x14ac:dyDescent="0.25">
      <c r="F2224" s="3"/>
      <c r="H2224" s="1"/>
    </row>
    <row r="2225" spans="6:8" x14ac:dyDescent="0.25">
      <c r="F2225" s="3"/>
      <c r="H2225" s="1"/>
    </row>
    <row r="2226" spans="6:8" x14ac:dyDescent="0.25">
      <c r="F2226" s="3"/>
      <c r="H2226" s="1"/>
    </row>
    <row r="2227" spans="6:8" x14ac:dyDescent="0.25">
      <c r="F2227" s="3"/>
      <c r="H2227" s="1"/>
    </row>
    <row r="2228" spans="6:8" x14ac:dyDescent="0.25">
      <c r="F2228" s="3"/>
      <c r="H2228" s="1"/>
    </row>
    <row r="2229" spans="6:8" x14ac:dyDescent="0.25">
      <c r="F2229" s="3"/>
      <c r="H2229" s="1"/>
    </row>
    <row r="2230" spans="6:8" x14ac:dyDescent="0.25">
      <c r="F2230" s="3"/>
      <c r="H2230" s="1"/>
    </row>
    <row r="2231" spans="6:8" x14ac:dyDescent="0.25">
      <c r="F2231" s="3"/>
      <c r="H2231" s="1"/>
    </row>
    <row r="2232" spans="6:8" x14ac:dyDescent="0.25">
      <c r="F2232" s="3"/>
      <c r="H2232" s="1"/>
    </row>
    <row r="2233" spans="6:8" x14ac:dyDescent="0.25">
      <c r="F2233" s="3"/>
      <c r="H2233" s="1"/>
    </row>
    <row r="2234" spans="6:8" x14ac:dyDescent="0.25">
      <c r="F2234" s="3"/>
      <c r="H2234" s="1"/>
    </row>
    <row r="2235" spans="6:8" x14ac:dyDescent="0.25">
      <c r="F2235" s="3"/>
      <c r="H2235" s="1"/>
    </row>
    <row r="2236" spans="6:8" x14ac:dyDescent="0.25">
      <c r="F2236" s="3"/>
      <c r="H2236" s="1"/>
    </row>
    <row r="2237" spans="6:8" x14ac:dyDescent="0.25">
      <c r="F2237" s="3"/>
      <c r="H2237" s="1"/>
    </row>
    <row r="2238" spans="6:8" x14ac:dyDescent="0.25">
      <c r="F2238" s="3"/>
      <c r="H2238" s="1"/>
    </row>
    <row r="2239" spans="6:8" x14ac:dyDescent="0.25">
      <c r="F2239" s="3"/>
      <c r="H2239" s="1"/>
    </row>
    <row r="2240" spans="6:8" x14ac:dyDescent="0.25">
      <c r="F2240" s="3"/>
      <c r="H2240" s="1"/>
    </row>
    <row r="2241" spans="6:8" x14ac:dyDescent="0.25">
      <c r="F2241" s="3"/>
      <c r="H2241" s="1"/>
    </row>
    <row r="2242" spans="6:8" x14ac:dyDescent="0.25">
      <c r="F2242" s="3"/>
      <c r="H2242" s="1"/>
    </row>
    <row r="2243" spans="6:8" x14ac:dyDescent="0.25">
      <c r="F2243" s="3"/>
      <c r="H2243" s="1"/>
    </row>
    <row r="2244" spans="6:8" x14ac:dyDescent="0.25">
      <c r="F2244" s="3"/>
      <c r="H2244" s="1"/>
    </row>
    <row r="2245" spans="6:8" x14ac:dyDescent="0.25">
      <c r="F2245" s="3"/>
      <c r="H2245" s="1"/>
    </row>
    <row r="2246" spans="6:8" x14ac:dyDescent="0.25">
      <c r="F2246" s="3"/>
      <c r="H2246" s="1"/>
    </row>
    <row r="2247" spans="6:8" x14ac:dyDescent="0.25">
      <c r="F2247" s="3"/>
      <c r="H2247" s="1"/>
    </row>
    <row r="2248" spans="6:8" x14ac:dyDescent="0.25">
      <c r="F2248" s="3"/>
      <c r="H2248" s="1"/>
    </row>
    <row r="2249" spans="6:8" x14ac:dyDescent="0.25">
      <c r="F2249" s="3"/>
      <c r="H2249" s="1"/>
    </row>
    <row r="2250" spans="6:8" x14ac:dyDescent="0.25">
      <c r="F2250" s="3"/>
      <c r="H2250" s="1"/>
    </row>
    <row r="2251" spans="6:8" x14ac:dyDescent="0.25">
      <c r="F2251" s="3"/>
      <c r="H2251" s="1"/>
    </row>
    <row r="2252" spans="6:8" x14ac:dyDescent="0.25">
      <c r="F2252" s="3"/>
      <c r="H2252" s="1"/>
    </row>
    <row r="2253" spans="6:8" x14ac:dyDescent="0.25">
      <c r="F2253" s="3"/>
      <c r="H2253" s="1"/>
    </row>
    <row r="2254" spans="6:8" x14ac:dyDescent="0.25">
      <c r="F2254" s="3"/>
      <c r="H2254" s="1"/>
    </row>
    <row r="2255" spans="6:8" x14ac:dyDescent="0.25">
      <c r="F2255" s="3"/>
      <c r="H2255" s="1"/>
    </row>
    <row r="2256" spans="6:8" x14ac:dyDescent="0.25">
      <c r="F2256" s="3"/>
      <c r="H2256" s="1"/>
    </row>
    <row r="2257" spans="6:8" x14ac:dyDescent="0.25">
      <c r="F2257" s="3"/>
      <c r="H2257" s="1"/>
    </row>
    <row r="2258" spans="6:8" x14ac:dyDescent="0.25">
      <c r="F2258" s="3"/>
      <c r="H2258" s="1"/>
    </row>
    <row r="2259" spans="6:8" x14ac:dyDescent="0.25">
      <c r="F2259" s="3"/>
      <c r="H2259" s="1"/>
    </row>
    <row r="2260" spans="6:8" x14ac:dyDescent="0.25">
      <c r="F2260" s="3"/>
      <c r="H2260" s="1"/>
    </row>
    <row r="2261" spans="6:8" x14ac:dyDescent="0.25">
      <c r="F2261" s="3"/>
      <c r="H2261" s="1"/>
    </row>
    <row r="2262" spans="6:8" x14ac:dyDescent="0.25">
      <c r="F2262" s="3"/>
      <c r="H2262" s="1"/>
    </row>
    <row r="2263" spans="6:8" x14ac:dyDescent="0.25">
      <c r="F2263" s="3"/>
      <c r="H2263" s="1"/>
    </row>
    <row r="2264" spans="6:8" x14ac:dyDescent="0.25">
      <c r="F2264" s="3"/>
      <c r="H2264" s="1"/>
    </row>
    <row r="2265" spans="6:8" x14ac:dyDescent="0.25">
      <c r="F2265" s="3"/>
      <c r="H2265" s="1"/>
    </row>
    <row r="2266" spans="6:8" x14ac:dyDescent="0.25">
      <c r="F2266" s="3"/>
      <c r="H2266" s="1"/>
    </row>
    <row r="2267" spans="6:8" x14ac:dyDescent="0.25">
      <c r="F2267" s="3"/>
      <c r="H2267" s="1"/>
    </row>
    <row r="2268" spans="6:8" x14ac:dyDescent="0.25">
      <c r="F2268" s="3"/>
      <c r="H2268" s="1"/>
    </row>
    <row r="2269" spans="6:8" x14ac:dyDescent="0.25">
      <c r="F2269" s="3"/>
      <c r="H2269" s="1"/>
    </row>
    <row r="2270" spans="6:8" x14ac:dyDescent="0.25">
      <c r="F2270" s="3"/>
      <c r="H2270" s="1"/>
    </row>
    <row r="2271" spans="6:8" x14ac:dyDescent="0.25">
      <c r="F2271" s="3"/>
      <c r="H2271" s="1"/>
    </row>
    <row r="2272" spans="6:8" x14ac:dyDescent="0.25">
      <c r="F2272" s="3"/>
      <c r="H2272" s="1"/>
    </row>
    <row r="2273" spans="6:8" x14ac:dyDescent="0.25">
      <c r="F2273" s="3"/>
      <c r="H2273" s="1"/>
    </row>
    <row r="2274" spans="6:8" x14ac:dyDescent="0.25">
      <c r="F2274" s="3"/>
      <c r="H2274" s="1"/>
    </row>
    <row r="2275" spans="6:8" x14ac:dyDescent="0.25">
      <c r="F2275" s="3"/>
      <c r="H2275" s="1"/>
    </row>
    <row r="2276" spans="6:8" x14ac:dyDescent="0.25">
      <c r="F2276" s="3"/>
      <c r="H2276" s="1"/>
    </row>
    <row r="2277" spans="6:8" x14ac:dyDescent="0.25">
      <c r="F2277" s="3"/>
      <c r="H2277" s="1"/>
    </row>
    <row r="2278" spans="6:8" x14ac:dyDescent="0.25">
      <c r="F2278" s="3"/>
      <c r="H2278" s="1"/>
    </row>
    <row r="2279" spans="6:8" x14ac:dyDescent="0.25">
      <c r="F2279" s="3"/>
      <c r="H2279" s="1"/>
    </row>
    <row r="2280" spans="6:8" x14ac:dyDescent="0.25">
      <c r="F2280" s="3"/>
      <c r="H2280" s="1"/>
    </row>
    <row r="2281" spans="6:8" x14ac:dyDescent="0.25">
      <c r="F2281" s="3"/>
      <c r="H2281" s="1"/>
    </row>
    <row r="2282" spans="6:8" x14ac:dyDescent="0.25">
      <c r="F2282" s="3"/>
      <c r="H2282" s="1"/>
    </row>
    <row r="2283" spans="6:8" x14ac:dyDescent="0.25">
      <c r="F2283" s="3"/>
      <c r="H2283" s="1"/>
    </row>
    <row r="2284" spans="6:8" x14ac:dyDescent="0.25">
      <c r="F2284" s="3"/>
      <c r="H2284" s="1"/>
    </row>
    <row r="2285" spans="6:8" x14ac:dyDescent="0.25">
      <c r="F2285" s="3"/>
      <c r="H2285" s="1"/>
    </row>
    <row r="2286" spans="6:8" x14ac:dyDescent="0.25">
      <c r="F2286" s="3"/>
      <c r="H2286" s="1"/>
    </row>
    <row r="2287" spans="6:8" x14ac:dyDescent="0.25">
      <c r="F2287" s="3"/>
      <c r="H2287" s="1"/>
    </row>
    <row r="2288" spans="6:8" x14ac:dyDescent="0.25">
      <c r="F2288" s="3"/>
      <c r="H2288" s="1"/>
    </row>
    <row r="2289" spans="6:8" x14ac:dyDescent="0.25">
      <c r="F2289" s="3"/>
      <c r="H2289" s="1"/>
    </row>
    <row r="2290" spans="6:8" x14ac:dyDescent="0.25">
      <c r="F2290" s="3"/>
      <c r="H2290" s="1"/>
    </row>
    <row r="2291" spans="6:8" x14ac:dyDescent="0.25">
      <c r="F2291" s="3"/>
      <c r="H2291" s="1"/>
    </row>
    <row r="2292" spans="6:8" x14ac:dyDescent="0.25">
      <c r="F2292" s="3"/>
      <c r="H2292" s="1"/>
    </row>
    <row r="2293" spans="6:8" x14ac:dyDescent="0.25">
      <c r="F2293" s="3"/>
      <c r="H2293" s="1"/>
    </row>
    <row r="2294" spans="6:8" x14ac:dyDescent="0.25">
      <c r="F2294" s="3"/>
      <c r="H2294" s="1"/>
    </row>
    <row r="2295" spans="6:8" x14ac:dyDescent="0.25">
      <c r="F2295" s="3"/>
      <c r="H2295" s="1"/>
    </row>
    <row r="2296" spans="6:8" x14ac:dyDescent="0.25">
      <c r="F2296" s="3"/>
      <c r="H2296" s="1"/>
    </row>
    <row r="2297" spans="6:8" x14ac:dyDescent="0.25">
      <c r="F2297" s="3"/>
      <c r="H2297" s="1"/>
    </row>
    <row r="2298" spans="6:8" x14ac:dyDescent="0.25">
      <c r="F2298" s="3"/>
      <c r="H2298" s="1"/>
    </row>
    <row r="2299" spans="6:8" x14ac:dyDescent="0.25">
      <c r="F2299" s="3"/>
      <c r="H2299" s="1"/>
    </row>
    <row r="2300" spans="6:8" x14ac:dyDescent="0.25">
      <c r="F2300" s="3"/>
      <c r="H2300" s="1"/>
    </row>
    <row r="2301" spans="6:8" x14ac:dyDescent="0.25">
      <c r="F2301" s="3"/>
      <c r="H2301" s="1"/>
    </row>
    <row r="2302" spans="6:8" x14ac:dyDescent="0.25">
      <c r="F2302" s="3"/>
      <c r="H2302" s="1"/>
    </row>
    <row r="2303" spans="6:8" x14ac:dyDescent="0.25">
      <c r="F2303" s="3"/>
      <c r="H2303" s="1"/>
    </row>
    <row r="2304" spans="6:8" x14ac:dyDescent="0.25">
      <c r="F2304" s="3"/>
      <c r="H2304" s="1"/>
    </row>
    <row r="2305" spans="6:8" x14ac:dyDescent="0.25">
      <c r="F2305" s="3"/>
      <c r="H2305" s="1"/>
    </row>
    <row r="2306" spans="6:8" x14ac:dyDescent="0.25">
      <c r="F2306" s="3"/>
      <c r="H2306" s="1"/>
    </row>
    <row r="2307" spans="6:8" x14ac:dyDescent="0.25">
      <c r="F2307" s="3"/>
      <c r="H2307" s="1"/>
    </row>
    <row r="2308" spans="6:8" x14ac:dyDescent="0.25">
      <c r="F2308" s="3"/>
      <c r="H2308" s="1"/>
    </row>
    <row r="2309" spans="6:8" x14ac:dyDescent="0.25">
      <c r="F2309" s="3"/>
      <c r="H2309" s="1"/>
    </row>
    <row r="2310" spans="6:8" x14ac:dyDescent="0.25">
      <c r="F2310" s="3"/>
      <c r="H2310" s="1"/>
    </row>
    <row r="2311" spans="6:8" x14ac:dyDescent="0.25">
      <c r="F2311" s="3"/>
      <c r="H2311" s="1"/>
    </row>
    <row r="2312" spans="6:8" x14ac:dyDescent="0.25">
      <c r="F2312" s="3"/>
      <c r="H2312" s="1"/>
    </row>
    <row r="2313" spans="6:8" x14ac:dyDescent="0.25">
      <c r="F2313" s="3"/>
      <c r="H2313" s="1"/>
    </row>
    <row r="2314" spans="6:8" x14ac:dyDescent="0.25">
      <c r="F2314" s="3"/>
      <c r="H2314" s="1"/>
    </row>
    <row r="2315" spans="6:8" x14ac:dyDescent="0.25">
      <c r="F2315" s="3"/>
      <c r="H2315" s="1"/>
    </row>
    <row r="2316" spans="6:8" x14ac:dyDescent="0.25">
      <c r="F2316" s="3"/>
      <c r="H2316" s="1"/>
    </row>
    <row r="2317" spans="6:8" x14ac:dyDescent="0.25">
      <c r="F2317" s="3"/>
      <c r="H2317" s="1"/>
    </row>
    <row r="2318" spans="6:8" x14ac:dyDescent="0.25">
      <c r="F2318" s="3"/>
      <c r="H2318" s="1"/>
    </row>
    <row r="2319" spans="6:8" x14ac:dyDescent="0.25">
      <c r="F2319" s="3"/>
      <c r="H2319" s="1"/>
    </row>
    <row r="2320" spans="6:8" x14ac:dyDescent="0.25">
      <c r="F2320" s="3"/>
      <c r="H2320" s="1"/>
    </row>
    <row r="2321" spans="6:8" x14ac:dyDescent="0.25">
      <c r="F2321" s="3"/>
      <c r="H2321" s="1"/>
    </row>
    <row r="2322" spans="6:8" x14ac:dyDescent="0.25">
      <c r="F2322" s="3"/>
      <c r="H2322" s="1"/>
    </row>
    <row r="2323" spans="6:8" x14ac:dyDescent="0.25">
      <c r="F2323" s="3"/>
      <c r="H2323" s="1"/>
    </row>
    <row r="2324" spans="6:8" x14ac:dyDescent="0.25">
      <c r="F2324" s="3"/>
      <c r="H2324" s="1"/>
    </row>
    <row r="2325" spans="6:8" x14ac:dyDescent="0.25">
      <c r="F2325" s="3"/>
      <c r="H2325" s="1"/>
    </row>
    <row r="2326" spans="6:8" x14ac:dyDescent="0.25">
      <c r="F2326" s="3"/>
      <c r="H2326" s="1"/>
    </row>
    <row r="2327" spans="6:8" x14ac:dyDescent="0.25">
      <c r="F2327" s="3"/>
      <c r="H2327" s="1"/>
    </row>
    <row r="2328" spans="6:8" x14ac:dyDescent="0.25">
      <c r="F2328" s="3"/>
      <c r="H2328" s="1"/>
    </row>
    <row r="2329" spans="6:8" x14ac:dyDescent="0.25">
      <c r="F2329" s="3"/>
      <c r="H2329" s="1"/>
    </row>
    <row r="2330" spans="6:8" x14ac:dyDescent="0.25">
      <c r="F2330" s="3"/>
      <c r="H2330" s="1"/>
    </row>
    <row r="2331" spans="6:8" x14ac:dyDescent="0.25">
      <c r="F2331" s="3"/>
      <c r="H2331" s="1"/>
    </row>
    <row r="2332" spans="6:8" x14ac:dyDescent="0.25">
      <c r="F2332" s="3"/>
      <c r="H2332" s="1"/>
    </row>
    <row r="2333" spans="6:8" x14ac:dyDescent="0.25">
      <c r="F2333" s="3"/>
      <c r="H2333" s="1"/>
    </row>
    <row r="2334" spans="6:8" x14ac:dyDescent="0.25">
      <c r="F2334" s="3"/>
      <c r="H2334" s="1"/>
    </row>
    <row r="2335" spans="6:8" x14ac:dyDescent="0.25">
      <c r="F2335" s="3"/>
      <c r="H2335" s="1"/>
    </row>
    <row r="2336" spans="6:8" x14ac:dyDescent="0.25">
      <c r="F2336" s="3"/>
      <c r="H2336" s="1"/>
    </row>
    <row r="2337" spans="6:8" x14ac:dyDescent="0.25">
      <c r="F2337" s="3"/>
      <c r="H2337" s="1"/>
    </row>
    <row r="2338" spans="6:8" x14ac:dyDescent="0.25">
      <c r="F2338" s="3"/>
      <c r="H2338" s="1"/>
    </row>
    <row r="2339" spans="6:8" x14ac:dyDescent="0.25">
      <c r="F2339" s="3"/>
      <c r="H2339" s="1"/>
    </row>
    <row r="2340" spans="6:8" x14ac:dyDescent="0.25">
      <c r="F2340" s="3"/>
      <c r="H2340" s="1"/>
    </row>
    <row r="2341" spans="6:8" x14ac:dyDescent="0.25">
      <c r="F2341" s="3"/>
      <c r="H2341" s="1"/>
    </row>
    <row r="2342" spans="6:8" x14ac:dyDescent="0.25">
      <c r="F2342" s="3"/>
      <c r="H2342" s="1"/>
    </row>
    <row r="2343" spans="6:8" x14ac:dyDescent="0.25">
      <c r="F2343" s="3"/>
      <c r="H2343" s="1"/>
    </row>
    <row r="2344" spans="6:8" x14ac:dyDescent="0.25">
      <c r="F2344" s="3"/>
      <c r="H2344" s="1"/>
    </row>
    <row r="2345" spans="6:8" x14ac:dyDescent="0.25">
      <c r="F2345" s="3"/>
      <c r="H2345" s="1"/>
    </row>
    <row r="2346" spans="6:8" x14ac:dyDescent="0.25">
      <c r="F2346" s="3"/>
      <c r="H2346" s="1"/>
    </row>
    <row r="2347" spans="6:8" x14ac:dyDescent="0.25">
      <c r="F2347" s="3"/>
      <c r="H2347" s="1"/>
    </row>
    <row r="2348" spans="6:8" x14ac:dyDescent="0.25">
      <c r="F2348" s="3"/>
      <c r="H2348" s="1"/>
    </row>
    <row r="2349" spans="6:8" x14ac:dyDescent="0.25">
      <c r="F2349" s="3"/>
      <c r="H2349" s="1"/>
    </row>
    <row r="2350" spans="6:8" x14ac:dyDescent="0.25">
      <c r="F2350" s="3"/>
      <c r="H2350" s="1"/>
    </row>
    <row r="2351" spans="6:8" x14ac:dyDescent="0.25">
      <c r="F2351" s="3"/>
      <c r="H2351" s="1"/>
    </row>
    <row r="2352" spans="6:8" x14ac:dyDescent="0.25">
      <c r="F2352" s="3"/>
      <c r="H2352" s="1"/>
    </row>
    <row r="2353" spans="6:8" x14ac:dyDescent="0.25">
      <c r="F2353" s="3"/>
      <c r="H2353" s="1"/>
    </row>
    <row r="2354" spans="6:8" x14ac:dyDescent="0.25">
      <c r="F2354" s="3"/>
      <c r="H2354" s="1"/>
    </row>
    <row r="2355" spans="6:8" x14ac:dyDescent="0.25">
      <c r="F2355" s="3"/>
      <c r="H2355" s="1"/>
    </row>
    <row r="2356" spans="6:8" x14ac:dyDescent="0.25">
      <c r="F2356" s="3"/>
      <c r="H2356" s="1"/>
    </row>
    <row r="2357" spans="6:8" x14ac:dyDescent="0.25">
      <c r="F2357" s="3"/>
      <c r="H2357" s="1"/>
    </row>
    <row r="2358" spans="6:8" x14ac:dyDescent="0.25">
      <c r="F2358" s="3"/>
      <c r="H2358" s="1"/>
    </row>
    <row r="2359" spans="6:8" x14ac:dyDescent="0.25">
      <c r="F2359" s="3"/>
      <c r="H2359" s="1"/>
    </row>
    <row r="2360" spans="6:8" x14ac:dyDescent="0.25">
      <c r="F2360" s="3"/>
      <c r="H2360" s="1"/>
    </row>
    <row r="2361" spans="6:8" x14ac:dyDescent="0.25">
      <c r="F2361" s="3"/>
      <c r="H2361" s="1"/>
    </row>
    <row r="2362" spans="6:8" x14ac:dyDescent="0.25">
      <c r="F2362" s="3"/>
      <c r="H2362" s="1"/>
    </row>
    <row r="2363" spans="6:8" x14ac:dyDescent="0.25">
      <c r="F2363" s="3"/>
      <c r="H2363" s="1"/>
    </row>
    <row r="2364" spans="6:8" x14ac:dyDescent="0.25">
      <c r="F2364" s="3"/>
      <c r="H2364" s="1"/>
    </row>
    <row r="2365" spans="6:8" x14ac:dyDescent="0.25">
      <c r="F2365" s="3"/>
      <c r="H2365" s="1"/>
    </row>
    <row r="2366" spans="6:8" x14ac:dyDescent="0.25">
      <c r="F2366" s="3"/>
      <c r="H2366" s="1"/>
    </row>
    <row r="2367" spans="6:8" x14ac:dyDescent="0.25">
      <c r="F2367" s="3"/>
      <c r="H2367" s="1"/>
    </row>
    <row r="2368" spans="6:8" x14ac:dyDescent="0.25">
      <c r="F2368" s="3"/>
      <c r="H2368" s="1"/>
    </row>
    <row r="2369" spans="6:8" x14ac:dyDescent="0.25">
      <c r="F2369" s="3"/>
      <c r="H2369" s="1"/>
    </row>
    <row r="2370" spans="6:8" x14ac:dyDescent="0.25">
      <c r="F2370" s="3"/>
      <c r="H2370" s="1"/>
    </row>
    <row r="2371" spans="6:8" x14ac:dyDescent="0.25">
      <c r="F2371" s="3"/>
      <c r="H2371" s="1"/>
    </row>
    <row r="2372" spans="6:8" x14ac:dyDescent="0.25">
      <c r="F2372" s="3"/>
      <c r="H2372" s="1"/>
    </row>
    <row r="2373" spans="6:8" x14ac:dyDescent="0.25">
      <c r="F2373" s="3"/>
      <c r="H2373" s="1"/>
    </row>
    <row r="2374" spans="6:8" x14ac:dyDescent="0.25">
      <c r="F2374" s="3"/>
      <c r="H2374" s="1"/>
    </row>
    <row r="2375" spans="6:8" x14ac:dyDescent="0.25">
      <c r="F2375" s="3"/>
      <c r="H2375" s="1"/>
    </row>
    <row r="2376" spans="6:8" x14ac:dyDescent="0.25">
      <c r="F2376" s="3"/>
      <c r="H2376" s="1"/>
    </row>
    <row r="2377" spans="6:8" x14ac:dyDescent="0.25">
      <c r="F2377" s="3"/>
      <c r="H2377" s="1"/>
    </row>
    <row r="2378" spans="6:8" x14ac:dyDescent="0.25">
      <c r="F2378" s="3"/>
      <c r="H2378" s="1"/>
    </row>
    <row r="2379" spans="6:8" x14ac:dyDescent="0.25">
      <c r="F2379" s="3"/>
      <c r="H2379" s="1"/>
    </row>
    <row r="2380" spans="6:8" x14ac:dyDescent="0.25">
      <c r="F2380" s="3"/>
      <c r="H2380" s="1"/>
    </row>
    <row r="2381" spans="6:8" x14ac:dyDescent="0.25">
      <c r="F2381" s="3"/>
      <c r="H2381" s="1"/>
    </row>
    <row r="2382" spans="6:8" x14ac:dyDescent="0.25">
      <c r="F2382" s="3"/>
      <c r="H2382" s="1"/>
    </row>
    <row r="2383" spans="6:8" x14ac:dyDescent="0.25">
      <c r="F2383" s="3"/>
      <c r="H2383" s="1"/>
    </row>
    <row r="2384" spans="6:8" x14ac:dyDescent="0.25">
      <c r="F2384" s="3"/>
      <c r="H2384" s="1"/>
    </row>
    <row r="2385" spans="6:8" x14ac:dyDescent="0.25">
      <c r="F2385" s="3"/>
      <c r="H2385" s="1"/>
    </row>
    <row r="2386" spans="6:8" x14ac:dyDescent="0.25">
      <c r="F2386" s="3"/>
      <c r="H2386" s="1"/>
    </row>
    <row r="2387" spans="6:8" x14ac:dyDescent="0.25">
      <c r="F2387" s="3"/>
      <c r="H2387" s="1"/>
    </row>
    <row r="2388" spans="6:8" x14ac:dyDescent="0.25">
      <c r="F2388" s="3"/>
      <c r="H2388" s="1"/>
    </row>
    <row r="2389" spans="6:8" x14ac:dyDescent="0.25">
      <c r="F2389" s="3"/>
      <c r="H2389" s="1"/>
    </row>
    <row r="2390" spans="6:8" x14ac:dyDescent="0.25">
      <c r="F2390" s="3"/>
      <c r="H2390" s="1"/>
    </row>
    <row r="2391" spans="6:8" x14ac:dyDescent="0.25">
      <c r="F2391" s="3"/>
      <c r="H2391" s="1"/>
    </row>
    <row r="2392" spans="6:8" x14ac:dyDescent="0.25">
      <c r="F2392" s="3"/>
      <c r="H2392" s="1"/>
    </row>
    <row r="2393" spans="6:8" x14ac:dyDescent="0.25">
      <c r="F2393" s="3"/>
      <c r="H2393" s="1"/>
    </row>
    <row r="2394" spans="6:8" x14ac:dyDescent="0.25">
      <c r="F2394" s="3"/>
      <c r="H2394" s="1"/>
    </row>
    <row r="2395" spans="6:8" x14ac:dyDescent="0.25">
      <c r="F2395" s="3"/>
      <c r="H2395" s="1"/>
    </row>
    <row r="2396" spans="6:8" x14ac:dyDescent="0.25">
      <c r="F2396" s="3"/>
      <c r="H2396" s="1"/>
    </row>
    <row r="2397" spans="6:8" x14ac:dyDescent="0.25">
      <c r="F2397" s="3"/>
      <c r="H2397" s="1"/>
    </row>
    <row r="2398" spans="6:8" x14ac:dyDescent="0.25">
      <c r="F2398" s="3"/>
      <c r="H2398" s="1"/>
    </row>
    <row r="2399" spans="6:8" x14ac:dyDescent="0.25">
      <c r="F2399" s="3"/>
      <c r="H2399" s="1"/>
    </row>
    <row r="2400" spans="6:8" x14ac:dyDescent="0.25">
      <c r="F2400" s="3"/>
      <c r="H2400" s="1"/>
    </row>
    <row r="2401" spans="6:8" x14ac:dyDescent="0.25">
      <c r="F2401" s="3"/>
      <c r="H2401" s="1"/>
    </row>
    <row r="2402" spans="6:8" x14ac:dyDescent="0.25">
      <c r="F2402" s="3"/>
      <c r="H2402" s="1"/>
    </row>
    <row r="2403" spans="6:8" x14ac:dyDescent="0.25">
      <c r="F2403" s="3"/>
      <c r="H2403" s="1"/>
    </row>
    <row r="2404" spans="6:8" x14ac:dyDescent="0.25">
      <c r="F2404" s="3"/>
      <c r="H2404" s="1"/>
    </row>
    <row r="2405" spans="6:8" x14ac:dyDescent="0.25">
      <c r="F2405" s="3"/>
      <c r="H2405" s="1"/>
    </row>
    <row r="2406" spans="6:8" x14ac:dyDescent="0.25">
      <c r="F2406" s="3"/>
      <c r="H2406" s="1"/>
    </row>
    <row r="2407" spans="6:8" x14ac:dyDescent="0.25">
      <c r="F2407" s="3"/>
      <c r="H2407" s="1"/>
    </row>
    <row r="2408" spans="6:8" x14ac:dyDescent="0.25">
      <c r="F2408" s="3"/>
      <c r="H2408" s="1"/>
    </row>
    <row r="2409" spans="6:8" x14ac:dyDescent="0.25">
      <c r="F2409" s="3"/>
      <c r="H2409" s="1"/>
    </row>
    <row r="2410" spans="6:8" x14ac:dyDescent="0.25">
      <c r="F2410" s="3"/>
      <c r="H2410" s="1"/>
    </row>
    <row r="2411" spans="6:8" x14ac:dyDescent="0.25">
      <c r="F2411" s="3"/>
      <c r="H2411" s="1"/>
    </row>
    <row r="2412" spans="6:8" x14ac:dyDescent="0.25">
      <c r="F2412" s="3"/>
      <c r="H2412" s="1"/>
    </row>
    <row r="2413" spans="6:8" x14ac:dyDescent="0.25">
      <c r="F2413" s="3"/>
      <c r="H2413" s="1"/>
    </row>
    <row r="2414" spans="6:8" x14ac:dyDescent="0.25">
      <c r="F2414" s="3"/>
      <c r="H2414" s="1"/>
    </row>
    <row r="2415" spans="6:8" x14ac:dyDescent="0.25">
      <c r="F2415" s="3"/>
      <c r="H2415" s="1"/>
    </row>
    <row r="2416" spans="6:8" x14ac:dyDescent="0.25">
      <c r="F2416" s="3"/>
      <c r="H2416" s="1"/>
    </row>
    <row r="2417" spans="6:8" x14ac:dyDescent="0.25">
      <c r="F2417" s="3"/>
      <c r="H2417" s="1"/>
    </row>
    <row r="2418" spans="6:8" x14ac:dyDescent="0.25">
      <c r="F2418" s="3"/>
      <c r="H2418" s="1"/>
    </row>
    <row r="2419" spans="6:8" x14ac:dyDescent="0.25">
      <c r="F2419" s="3"/>
      <c r="H2419" s="1"/>
    </row>
    <row r="2420" spans="6:8" x14ac:dyDescent="0.25">
      <c r="F2420" s="3"/>
      <c r="H2420" s="1"/>
    </row>
    <row r="2421" spans="6:8" x14ac:dyDescent="0.25">
      <c r="F2421" s="3"/>
      <c r="H2421" s="1"/>
    </row>
    <row r="2422" spans="6:8" x14ac:dyDescent="0.25">
      <c r="F2422" s="3"/>
      <c r="H2422" s="1"/>
    </row>
    <row r="2423" spans="6:8" x14ac:dyDescent="0.25">
      <c r="F2423" s="3"/>
      <c r="H2423" s="1"/>
    </row>
    <row r="2424" spans="6:8" x14ac:dyDescent="0.25">
      <c r="F2424" s="3"/>
      <c r="H2424" s="1"/>
    </row>
    <row r="2425" spans="6:8" x14ac:dyDescent="0.25">
      <c r="F2425" s="3"/>
      <c r="H2425" s="1"/>
    </row>
    <row r="2426" spans="6:8" x14ac:dyDescent="0.25">
      <c r="F2426" s="3"/>
      <c r="H2426" s="1"/>
    </row>
    <row r="2427" spans="6:8" x14ac:dyDescent="0.25">
      <c r="F2427" s="3"/>
      <c r="H2427" s="1"/>
    </row>
    <row r="2428" spans="6:8" x14ac:dyDescent="0.25">
      <c r="F2428" s="3"/>
      <c r="H2428" s="1"/>
    </row>
    <row r="2429" spans="6:8" x14ac:dyDescent="0.25">
      <c r="F2429" s="3"/>
      <c r="H2429" s="1"/>
    </row>
    <row r="2430" spans="6:8" x14ac:dyDescent="0.25">
      <c r="F2430" s="3"/>
      <c r="H2430" s="1"/>
    </row>
    <row r="2431" spans="6:8" x14ac:dyDescent="0.25">
      <c r="F2431" s="3"/>
      <c r="H2431" s="1"/>
    </row>
    <row r="2432" spans="6:8" x14ac:dyDescent="0.25">
      <c r="F2432" s="3"/>
      <c r="H2432" s="1"/>
    </row>
    <row r="2433" spans="6:8" x14ac:dyDescent="0.25">
      <c r="F2433" s="3"/>
      <c r="H2433" s="1"/>
    </row>
    <row r="2434" spans="6:8" x14ac:dyDescent="0.25">
      <c r="F2434" s="3"/>
      <c r="H2434" s="1"/>
    </row>
    <row r="2435" spans="6:8" x14ac:dyDescent="0.25">
      <c r="F2435" s="3"/>
      <c r="H2435" s="1"/>
    </row>
    <row r="2436" spans="6:8" x14ac:dyDescent="0.25">
      <c r="F2436" s="3"/>
      <c r="H2436" s="1"/>
    </row>
    <row r="2437" spans="6:8" x14ac:dyDescent="0.25">
      <c r="F2437" s="3"/>
      <c r="H2437" s="1"/>
    </row>
    <row r="2438" spans="6:8" x14ac:dyDescent="0.25">
      <c r="F2438" s="3"/>
      <c r="H2438" s="1"/>
    </row>
    <row r="2439" spans="6:8" x14ac:dyDescent="0.25">
      <c r="F2439" s="3"/>
      <c r="H2439" s="1"/>
    </row>
    <row r="2440" spans="6:8" x14ac:dyDescent="0.25">
      <c r="F2440" s="3"/>
      <c r="H2440" s="1"/>
    </row>
    <row r="2441" spans="6:8" x14ac:dyDescent="0.25">
      <c r="F2441" s="3"/>
      <c r="H2441" s="1"/>
    </row>
    <row r="2442" spans="6:8" x14ac:dyDescent="0.25">
      <c r="F2442" s="3"/>
      <c r="H2442" s="1"/>
    </row>
    <row r="2443" spans="6:8" x14ac:dyDescent="0.25">
      <c r="F2443" s="3"/>
      <c r="H2443" s="1"/>
    </row>
    <row r="2444" spans="6:8" x14ac:dyDescent="0.25">
      <c r="F2444" s="3"/>
      <c r="H2444" s="1"/>
    </row>
    <row r="2445" spans="6:8" x14ac:dyDescent="0.25">
      <c r="F2445" s="3"/>
      <c r="H2445" s="1"/>
    </row>
    <row r="2446" spans="6:8" x14ac:dyDescent="0.25">
      <c r="F2446" s="3"/>
      <c r="H2446" s="1"/>
    </row>
    <row r="2447" spans="6:8" x14ac:dyDescent="0.25">
      <c r="F2447" s="3"/>
      <c r="H2447" s="1"/>
    </row>
    <row r="2448" spans="6:8" x14ac:dyDescent="0.25">
      <c r="F2448" s="3"/>
      <c r="H2448" s="1"/>
    </row>
    <row r="2449" spans="6:8" x14ac:dyDescent="0.25">
      <c r="F2449" s="3"/>
      <c r="H2449" s="1"/>
    </row>
    <row r="2450" spans="6:8" x14ac:dyDescent="0.25">
      <c r="F2450" s="3"/>
      <c r="H2450" s="1"/>
    </row>
    <row r="2451" spans="6:8" x14ac:dyDescent="0.25">
      <c r="F2451" s="3"/>
      <c r="H2451" s="1"/>
    </row>
    <row r="2452" spans="6:8" x14ac:dyDescent="0.25">
      <c r="F2452" s="3"/>
      <c r="H2452" s="1"/>
    </row>
    <row r="2453" spans="6:8" x14ac:dyDescent="0.25">
      <c r="F2453" s="3"/>
      <c r="H2453" s="1"/>
    </row>
    <row r="2454" spans="6:8" x14ac:dyDescent="0.25">
      <c r="F2454" s="3"/>
      <c r="H2454" s="1"/>
    </row>
    <row r="2455" spans="6:8" x14ac:dyDescent="0.25">
      <c r="F2455" s="3"/>
      <c r="H2455" s="1"/>
    </row>
    <row r="2456" spans="6:8" x14ac:dyDescent="0.25">
      <c r="F2456" s="3"/>
      <c r="H2456" s="1"/>
    </row>
    <row r="2457" spans="6:8" x14ac:dyDescent="0.25">
      <c r="F2457" s="3"/>
      <c r="H2457" s="1"/>
    </row>
    <row r="2458" spans="6:8" x14ac:dyDescent="0.25">
      <c r="F2458" s="3"/>
      <c r="H2458" s="1"/>
    </row>
    <row r="2459" spans="6:8" x14ac:dyDescent="0.25">
      <c r="F2459" s="3"/>
      <c r="H2459" s="1"/>
    </row>
    <row r="2460" spans="6:8" x14ac:dyDescent="0.25">
      <c r="F2460" s="3"/>
      <c r="H2460" s="1"/>
    </row>
    <row r="2461" spans="6:8" x14ac:dyDescent="0.25">
      <c r="F2461" s="3"/>
      <c r="H2461" s="1"/>
    </row>
    <row r="2462" spans="6:8" x14ac:dyDescent="0.25">
      <c r="F2462" s="3"/>
      <c r="H2462" s="1"/>
    </row>
    <row r="2463" spans="6:8" x14ac:dyDescent="0.25">
      <c r="F2463" s="3"/>
      <c r="H2463" s="1"/>
    </row>
    <row r="2464" spans="6:8" x14ac:dyDescent="0.25">
      <c r="F2464" s="3"/>
      <c r="H2464" s="1"/>
    </row>
    <row r="2465" spans="6:8" x14ac:dyDescent="0.25">
      <c r="F2465" s="3"/>
      <c r="H2465" s="1"/>
    </row>
    <row r="2466" spans="6:8" x14ac:dyDescent="0.25">
      <c r="F2466" s="3"/>
      <c r="H2466" s="1"/>
    </row>
    <row r="2467" spans="6:8" x14ac:dyDescent="0.25">
      <c r="F2467" s="3"/>
      <c r="H2467" s="1"/>
    </row>
    <row r="2468" spans="6:8" x14ac:dyDescent="0.25">
      <c r="F2468" s="3"/>
      <c r="H2468" s="1"/>
    </row>
    <row r="2469" spans="6:8" x14ac:dyDescent="0.25">
      <c r="F2469" s="3"/>
      <c r="H2469" s="1"/>
    </row>
    <row r="2470" spans="6:8" x14ac:dyDescent="0.25">
      <c r="F2470" s="3"/>
      <c r="H2470" s="1"/>
    </row>
    <row r="2471" spans="6:8" x14ac:dyDescent="0.25">
      <c r="F2471" s="3"/>
      <c r="H2471" s="1"/>
    </row>
    <row r="2472" spans="6:8" x14ac:dyDescent="0.25">
      <c r="F2472" s="3"/>
      <c r="H2472" s="1"/>
    </row>
    <row r="2473" spans="6:8" x14ac:dyDescent="0.25">
      <c r="F2473" s="3"/>
      <c r="H2473" s="1"/>
    </row>
    <row r="2474" spans="6:8" x14ac:dyDescent="0.25">
      <c r="F2474" s="3"/>
      <c r="H2474" s="1"/>
    </row>
    <row r="2475" spans="6:8" x14ac:dyDescent="0.25">
      <c r="F2475" s="3"/>
      <c r="H2475" s="1"/>
    </row>
    <row r="2476" spans="6:8" x14ac:dyDescent="0.25">
      <c r="F2476" s="3"/>
      <c r="H2476" s="1"/>
    </row>
    <row r="2477" spans="6:8" x14ac:dyDescent="0.25">
      <c r="F2477" s="3"/>
      <c r="H2477" s="1"/>
    </row>
    <row r="2478" spans="6:8" x14ac:dyDescent="0.25">
      <c r="F2478" s="3"/>
      <c r="H2478" s="1"/>
    </row>
    <row r="2479" spans="6:8" x14ac:dyDescent="0.25">
      <c r="F2479" s="3"/>
      <c r="H2479" s="1"/>
    </row>
    <row r="2480" spans="6:8" x14ac:dyDescent="0.25">
      <c r="F2480" s="3"/>
      <c r="H2480" s="1"/>
    </row>
    <row r="2481" spans="6:8" x14ac:dyDescent="0.25">
      <c r="F2481" s="3"/>
      <c r="H2481" s="1"/>
    </row>
    <row r="2482" spans="6:8" x14ac:dyDescent="0.25">
      <c r="F2482" s="3"/>
      <c r="H2482" s="1"/>
    </row>
    <row r="2483" spans="6:8" x14ac:dyDescent="0.25">
      <c r="F2483" s="3"/>
      <c r="H2483" s="1"/>
    </row>
    <row r="2484" spans="6:8" x14ac:dyDescent="0.25">
      <c r="F2484" s="3"/>
      <c r="H2484" s="1"/>
    </row>
    <row r="2485" spans="6:8" x14ac:dyDescent="0.25">
      <c r="F2485" s="3"/>
      <c r="H2485" s="1"/>
    </row>
    <row r="2486" spans="6:8" x14ac:dyDescent="0.25">
      <c r="F2486" s="3"/>
      <c r="H2486" s="1"/>
    </row>
    <row r="2487" spans="6:8" x14ac:dyDescent="0.25">
      <c r="F2487" s="3"/>
      <c r="H2487" s="1"/>
    </row>
    <row r="2488" spans="6:8" x14ac:dyDescent="0.25">
      <c r="F2488" s="3"/>
      <c r="H2488" s="1"/>
    </row>
    <row r="2489" spans="6:8" x14ac:dyDescent="0.25">
      <c r="F2489" s="3"/>
      <c r="H2489" s="1"/>
    </row>
    <row r="2490" spans="6:8" x14ac:dyDescent="0.25">
      <c r="F2490" s="3"/>
      <c r="H2490" s="1"/>
    </row>
    <row r="2491" spans="6:8" x14ac:dyDescent="0.25">
      <c r="F2491" s="3"/>
      <c r="H2491" s="1"/>
    </row>
    <row r="2492" spans="6:8" x14ac:dyDescent="0.25">
      <c r="F2492" s="3"/>
      <c r="H2492" s="1"/>
    </row>
    <row r="2493" spans="6:8" x14ac:dyDescent="0.25">
      <c r="F2493" s="3"/>
      <c r="H2493" s="1"/>
    </row>
    <row r="2494" spans="6:8" x14ac:dyDescent="0.25">
      <c r="F2494" s="3"/>
      <c r="H2494" s="1"/>
    </row>
    <row r="2495" spans="6:8" x14ac:dyDescent="0.25">
      <c r="F2495" s="3"/>
      <c r="H2495" s="1"/>
    </row>
    <row r="2496" spans="6:8" x14ac:dyDescent="0.25">
      <c r="F2496" s="3"/>
      <c r="H2496" s="1"/>
    </row>
    <row r="2497" spans="6:8" x14ac:dyDescent="0.25">
      <c r="F2497" s="3"/>
      <c r="H2497" s="1"/>
    </row>
    <row r="2498" spans="6:8" x14ac:dyDescent="0.25">
      <c r="F2498" s="3"/>
      <c r="H2498" s="1"/>
    </row>
    <row r="2499" spans="6:8" x14ac:dyDescent="0.25">
      <c r="F2499" s="3"/>
      <c r="H2499" s="1"/>
    </row>
    <row r="2500" spans="6:8" x14ac:dyDescent="0.25">
      <c r="F2500" s="3"/>
      <c r="H2500" s="1"/>
    </row>
    <row r="2501" spans="6:8" x14ac:dyDescent="0.25">
      <c r="F2501" s="3"/>
      <c r="H2501" s="1"/>
    </row>
    <row r="2502" spans="6:8" x14ac:dyDescent="0.25">
      <c r="F2502" s="3"/>
      <c r="H2502" s="1"/>
    </row>
    <row r="2503" spans="6:8" x14ac:dyDescent="0.25">
      <c r="F2503" s="3"/>
      <c r="H2503" s="1"/>
    </row>
    <row r="2504" spans="6:8" x14ac:dyDescent="0.25">
      <c r="F2504" s="3"/>
      <c r="H2504" s="1"/>
    </row>
    <row r="2505" spans="6:8" x14ac:dyDescent="0.25">
      <c r="F2505" s="3"/>
      <c r="H2505" s="1"/>
    </row>
    <row r="2506" spans="6:8" x14ac:dyDescent="0.25">
      <c r="F2506" s="3"/>
      <c r="H2506" s="1"/>
    </row>
    <row r="2507" spans="6:8" x14ac:dyDescent="0.25">
      <c r="F2507" s="3"/>
      <c r="H2507" s="1"/>
    </row>
    <row r="2508" spans="6:8" x14ac:dyDescent="0.25">
      <c r="F2508" s="3"/>
      <c r="H2508" s="1"/>
    </row>
    <row r="2509" spans="6:8" x14ac:dyDescent="0.25">
      <c r="F2509" s="3"/>
      <c r="H2509" s="1"/>
    </row>
    <row r="2510" spans="6:8" x14ac:dyDescent="0.25">
      <c r="F2510" s="3"/>
      <c r="H2510" s="1"/>
    </row>
    <row r="2511" spans="6:8" x14ac:dyDescent="0.25">
      <c r="F2511" s="3"/>
      <c r="H2511" s="1"/>
    </row>
    <row r="2512" spans="6:8" x14ac:dyDescent="0.25">
      <c r="F2512" s="3"/>
      <c r="H2512" s="1"/>
    </row>
    <row r="2513" spans="6:8" x14ac:dyDescent="0.25">
      <c r="F2513" s="3"/>
      <c r="H2513" s="1"/>
    </row>
    <row r="2514" spans="6:8" x14ac:dyDescent="0.25">
      <c r="F2514" s="3"/>
      <c r="H2514" s="1"/>
    </row>
    <row r="2515" spans="6:8" x14ac:dyDescent="0.25">
      <c r="F2515" s="3"/>
      <c r="H2515" s="1"/>
    </row>
    <row r="2516" spans="6:8" x14ac:dyDescent="0.25">
      <c r="F2516" s="3"/>
      <c r="H2516" s="1"/>
    </row>
    <row r="2517" spans="6:8" x14ac:dyDescent="0.25">
      <c r="F2517" s="3"/>
      <c r="H2517" s="1"/>
    </row>
    <row r="2518" spans="6:8" x14ac:dyDescent="0.25">
      <c r="F2518" s="3"/>
      <c r="H2518" s="1"/>
    </row>
    <row r="2519" spans="6:8" x14ac:dyDescent="0.25">
      <c r="F2519" s="3"/>
      <c r="H2519" s="1"/>
    </row>
    <row r="2520" spans="6:8" x14ac:dyDescent="0.25">
      <c r="F2520" s="3"/>
      <c r="H2520" s="1"/>
    </row>
    <row r="2521" spans="6:8" x14ac:dyDescent="0.25">
      <c r="F2521" s="3"/>
      <c r="H2521" s="1"/>
    </row>
    <row r="2522" spans="6:8" x14ac:dyDescent="0.25">
      <c r="F2522" s="3"/>
      <c r="H2522" s="1"/>
    </row>
    <row r="2523" spans="6:8" x14ac:dyDescent="0.25">
      <c r="F2523" s="3"/>
      <c r="H2523" s="1"/>
    </row>
    <row r="2524" spans="6:8" x14ac:dyDescent="0.25">
      <c r="F2524" s="3"/>
      <c r="H2524" s="1"/>
    </row>
    <row r="2525" spans="6:8" x14ac:dyDescent="0.25">
      <c r="F2525" s="3"/>
      <c r="H2525" s="1"/>
    </row>
    <row r="2526" spans="6:8" x14ac:dyDescent="0.25">
      <c r="F2526" s="3"/>
      <c r="H2526" s="1"/>
    </row>
    <row r="2527" spans="6:8" x14ac:dyDescent="0.25">
      <c r="F2527" s="3"/>
      <c r="H2527" s="1"/>
    </row>
    <row r="2528" spans="6:8" x14ac:dyDescent="0.25">
      <c r="F2528" s="3"/>
      <c r="H2528" s="1"/>
    </row>
    <row r="2529" spans="6:8" x14ac:dyDescent="0.25">
      <c r="F2529" s="3"/>
      <c r="H2529" s="1"/>
    </row>
    <row r="2530" spans="6:8" x14ac:dyDescent="0.25">
      <c r="F2530" s="3"/>
      <c r="H2530" s="1"/>
    </row>
    <row r="2531" spans="6:8" x14ac:dyDescent="0.25">
      <c r="F2531" s="3"/>
      <c r="H2531" s="1"/>
    </row>
    <row r="2532" spans="6:8" x14ac:dyDescent="0.25">
      <c r="F2532" s="3"/>
      <c r="H2532" s="1"/>
    </row>
    <row r="2533" spans="6:8" x14ac:dyDescent="0.25">
      <c r="F2533" s="3"/>
      <c r="H2533" s="1"/>
    </row>
    <row r="2534" spans="6:8" x14ac:dyDescent="0.25">
      <c r="F2534" s="3"/>
      <c r="H2534" s="1"/>
    </row>
    <row r="2535" spans="6:8" x14ac:dyDescent="0.25">
      <c r="F2535" s="3"/>
      <c r="H2535" s="1"/>
    </row>
    <row r="2536" spans="6:8" x14ac:dyDescent="0.25">
      <c r="F2536" s="3"/>
      <c r="H2536" s="1"/>
    </row>
    <row r="2537" spans="6:8" x14ac:dyDescent="0.25">
      <c r="F2537" s="3"/>
      <c r="H2537" s="1"/>
    </row>
    <row r="2538" spans="6:8" x14ac:dyDescent="0.25">
      <c r="F2538" s="3"/>
      <c r="H2538" s="1"/>
    </row>
    <row r="2539" spans="6:8" x14ac:dyDescent="0.25">
      <c r="F2539" s="3"/>
      <c r="H2539" s="1"/>
    </row>
    <row r="2540" spans="6:8" x14ac:dyDescent="0.25">
      <c r="F2540" s="3"/>
      <c r="H2540" s="1"/>
    </row>
    <row r="2541" spans="6:8" x14ac:dyDescent="0.25">
      <c r="F2541" s="3"/>
      <c r="H2541" s="1"/>
    </row>
    <row r="2542" spans="6:8" x14ac:dyDescent="0.25">
      <c r="F2542" s="3"/>
      <c r="H2542" s="1"/>
    </row>
    <row r="2543" spans="6:8" x14ac:dyDescent="0.25">
      <c r="F2543" s="3"/>
      <c r="H2543" s="1"/>
    </row>
    <row r="2544" spans="6:8" x14ac:dyDescent="0.25">
      <c r="F2544" s="3"/>
      <c r="H2544" s="1"/>
    </row>
    <row r="2545" spans="6:8" x14ac:dyDescent="0.25">
      <c r="F2545" s="3"/>
      <c r="H2545" s="1"/>
    </row>
    <row r="2546" spans="6:8" x14ac:dyDescent="0.25">
      <c r="F2546" s="3"/>
      <c r="H2546" s="1"/>
    </row>
    <row r="2547" spans="6:8" x14ac:dyDescent="0.25">
      <c r="F2547" s="3"/>
      <c r="H2547" s="1"/>
    </row>
    <row r="2548" spans="6:8" x14ac:dyDescent="0.25">
      <c r="F2548" s="3"/>
      <c r="H2548" s="1"/>
    </row>
    <row r="2549" spans="6:8" x14ac:dyDescent="0.25">
      <c r="F2549" s="3"/>
      <c r="H2549" s="1"/>
    </row>
    <row r="2550" spans="6:8" x14ac:dyDescent="0.25">
      <c r="F2550" s="3"/>
      <c r="H2550" s="1"/>
    </row>
    <row r="2551" spans="6:8" x14ac:dyDescent="0.25">
      <c r="F2551" s="3"/>
      <c r="H2551" s="1"/>
    </row>
    <row r="2552" spans="6:8" x14ac:dyDescent="0.25">
      <c r="F2552" s="3"/>
      <c r="H2552" s="1"/>
    </row>
    <row r="2553" spans="6:8" x14ac:dyDescent="0.25">
      <c r="F2553" s="3"/>
      <c r="H2553" s="1"/>
    </row>
    <row r="2554" spans="6:8" x14ac:dyDescent="0.25">
      <c r="F2554" s="3"/>
      <c r="H2554" s="1"/>
    </row>
    <row r="2555" spans="6:8" x14ac:dyDescent="0.25">
      <c r="F2555" s="3"/>
      <c r="H2555" s="1"/>
    </row>
    <row r="2556" spans="6:8" x14ac:dyDescent="0.25">
      <c r="F2556" s="3"/>
      <c r="H2556" s="1"/>
    </row>
    <row r="2557" spans="6:8" x14ac:dyDescent="0.25">
      <c r="F2557" s="3"/>
      <c r="H2557" s="1"/>
    </row>
    <row r="2558" spans="6:8" x14ac:dyDescent="0.25">
      <c r="F2558" s="3"/>
      <c r="H2558" s="1"/>
    </row>
    <row r="2559" spans="6:8" x14ac:dyDescent="0.25">
      <c r="F2559" s="3"/>
      <c r="H2559" s="1"/>
    </row>
    <row r="2560" spans="6:8" x14ac:dyDescent="0.25">
      <c r="F2560" s="3"/>
      <c r="H2560" s="1"/>
    </row>
    <row r="2561" spans="6:8" x14ac:dyDescent="0.25">
      <c r="F2561" s="3"/>
      <c r="H2561" s="1"/>
    </row>
    <row r="2562" spans="6:8" x14ac:dyDescent="0.25">
      <c r="F2562" s="3"/>
      <c r="H2562" s="1"/>
    </row>
    <row r="2563" spans="6:8" x14ac:dyDescent="0.25">
      <c r="F2563" s="3"/>
      <c r="H2563" s="1"/>
    </row>
    <row r="2564" spans="6:8" x14ac:dyDescent="0.25">
      <c r="F2564" s="3"/>
      <c r="H2564" s="1"/>
    </row>
    <row r="2565" spans="6:8" x14ac:dyDescent="0.25">
      <c r="F2565" s="3"/>
      <c r="H2565" s="1"/>
    </row>
    <row r="2566" spans="6:8" x14ac:dyDescent="0.25">
      <c r="F2566" s="3"/>
      <c r="H2566" s="1"/>
    </row>
    <row r="2567" spans="6:8" x14ac:dyDescent="0.25">
      <c r="F2567" s="3"/>
      <c r="H2567" s="1"/>
    </row>
    <row r="2568" spans="6:8" x14ac:dyDescent="0.25">
      <c r="F2568" s="3"/>
      <c r="H2568" s="1"/>
    </row>
    <row r="2569" spans="6:8" x14ac:dyDescent="0.25">
      <c r="F2569" s="3"/>
      <c r="H2569" s="1"/>
    </row>
    <row r="2570" spans="6:8" x14ac:dyDescent="0.25">
      <c r="F2570" s="3"/>
      <c r="H2570" s="1"/>
    </row>
    <row r="2571" spans="6:8" x14ac:dyDescent="0.25">
      <c r="F2571" s="3"/>
      <c r="H2571" s="1"/>
    </row>
    <row r="2572" spans="6:8" x14ac:dyDescent="0.25">
      <c r="F2572" s="3"/>
      <c r="H2572" s="1"/>
    </row>
    <row r="2573" spans="6:8" x14ac:dyDescent="0.25">
      <c r="F2573" s="3"/>
      <c r="H2573" s="1"/>
    </row>
    <row r="2574" spans="6:8" x14ac:dyDescent="0.25">
      <c r="F2574" s="3"/>
      <c r="H2574" s="1"/>
    </row>
    <row r="2575" spans="6:8" x14ac:dyDescent="0.25">
      <c r="F2575" s="3"/>
      <c r="H2575" s="1"/>
    </row>
    <row r="2576" spans="6:8" x14ac:dyDescent="0.25">
      <c r="F2576" s="3"/>
      <c r="H2576" s="1"/>
    </row>
    <row r="2577" spans="6:8" x14ac:dyDescent="0.25">
      <c r="F2577" s="3"/>
      <c r="H2577" s="1"/>
    </row>
    <row r="2578" spans="6:8" x14ac:dyDescent="0.25">
      <c r="F2578" s="3"/>
      <c r="H2578" s="1"/>
    </row>
    <row r="2579" spans="6:8" x14ac:dyDescent="0.25">
      <c r="F2579" s="3"/>
      <c r="H2579" s="1"/>
    </row>
    <row r="2580" spans="6:8" x14ac:dyDescent="0.25">
      <c r="F2580" s="3"/>
      <c r="H2580" s="1"/>
    </row>
    <row r="2581" spans="6:8" x14ac:dyDescent="0.25">
      <c r="F2581" s="3"/>
      <c r="H2581" s="1"/>
    </row>
    <row r="2582" spans="6:8" x14ac:dyDescent="0.25">
      <c r="F2582" s="3"/>
      <c r="H2582" s="1"/>
    </row>
    <row r="2583" spans="6:8" x14ac:dyDescent="0.25">
      <c r="F2583" s="3"/>
      <c r="H2583" s="1"/>
    </row>
    <row r="2584" spans="6:8" x14ac:dyDescent="0.25">
      <c r="F2584" s="3"/>
      <c r="H2584" s="1"/>
    </row>
    <row r="2585" spans="6:8" x14ac:dyDescent="0.25">
      <c r="F2585" s="3"/>
      <c r="H2585" s="1"/>
    </row>
    <row r="2586" spans="6:8" x14ac:dyDescent="0.25">
      <c r="F2586" s="3"/>
      <c r="H2586" s="1"/>
    </row>
    <row r="2587" spans="6:8" x14ac:dyDescent="0.25">
      <c r="F2587" s="3"/>
      <c r="H2587" s="1"/>
    </row>
    <row r="2588" spans="6:8" x14ac:dyDescent="0.25">
      <c r="F2588" s="3"/>
      <c r="H2588" s="1"/>
    </row>
    <row r="2589" spans="6:8" x14ac:dyDescent="0.25">
      <c r="F2589" s="3"/>
      <c r="H2589" s="1"/>
    </row>
    <row r="2590" spans="6:8" x14ac:dyDescent="0.25">
      <c r="F2590" s="3"/>
      <c r="H2590" s="1"/>
    </row>
    <row r="2591" spans="6:8" x14ac:dyDescent="0.25">
      <c r="F2591" s="3"/>
      <c r="H2591" s="1"/>
    </row>
    <row r="2592" spans="6:8" x14ac:dyDescent="0.25">
      <c r="F2592" s="3"/>
      <c r="H2592" s="1"/>
    </row>
    <row r="2593" spans="6:8" x14ac:dyDescent="0.25">
      <c r="F2593" s="3"/>
      <c r="H2593" s="1"/>
    </row>
    <row r="2594" spans="6:8" x14ac:dyDescent="0.25">
      <c r="F2594" s="3"/>
      <c r="H2594" s="1"/>
    </row>
    <row r="2595" spans="6:8" x14ac:dyDescent="0.25">
      <c r="F2595" s="3"/>
      <c r="H2595" s="1"/>
    </row>
    <row r="2596" spans="6:8" x14ac:dyDescent="0.25">
      <c r="F2596" s="3"/>
      <c r="H2596" s="1"/>
    </row>
    <row r="2597" spans="6:8" x14ac:dyDescent="0.25">
      <c r="F2597" s="3"/>
      <c r="H2597" s="1"/>
    </row>
    <row r="2598" spans="6:8" x14ac:dyDescent="0.25">
      <c r="F2598" s="3"/>
      <c r="H2598" s="1"/>
    </row>
    <row r="2599" spans="6:8" x14ac:dyDescent="0.25">
      <c r="F2599" s="3"/>
      <c r="H2599" s="1"/>
    </row>
    <row r="2600" spans="6:8" x14ac:dyDescent="0.25">
      <c r="F2600" s="3"/>
      <c r="H2600" s="1"/>
    </row>
    <row r="2601" spans="6:8" x14ac:dyDescent="0.25">
      <c r="F2601" s="3"/>
      <c r="H2601" s="1"/>
    </row>
    <row r="2602" spans="6:8" x14ac:dyDescent="0.25">
      <c r="F2602" s="3"/>
      <c r="H2602" s="1"/>
    </row>
    <row r="2603" spans="6:8" x14ac:dyDescent="0.25">
      <c r="F2603" s="3"/>
      <c r="H2603" s="1"/>
    </row>
    <row r="2604" spans="6:8" x14ac:dyDescent="0.25">
      <c r="F2604" s="3"/>
      <c r="H2604" s="1"/>
    </row>
    <row r="2605" spans="6:8" x14ac:dyDescent="0.25">
      <c r="F2605" s="3"/>
      <c r="H2605" s="1"/>
    </row>
    <row r="2606" spans="6:8" x14ac:dyDescent="0.25">
      <c r="F2606" s="3"/>
      <c r="H2606" s="1"/>
    </row>
    <row r="2607" spans="6:8" x14ac:dyDescent="0.25">
      <c r="F2607" s="3"/>
      <c r="H2607" s="1"/>
    </row>
    <row r="2608" spans="6:8" x14ac:dyDescent="0.25">
      <c r="F2608" s="3"/>
      <c r="H2608" s="1"/>
    </row>
    <row r="2609" spans="6:8" x14ac:dyDescent="0.25">
      <c r="F2609" s="3"/>
      <c r="H2609" s="1"/>
    </row>
    <row r="2610" spans="6:8" x14ac:dyDescent="0.25">
      <c r="F2610" s="3"/>
      <c r="H2610" s="1"/>
    </row>
    <row r="2611" spans="6:8" x14ac:dyDescent="0.25">
      <c r="F2611" s="3"/>
      <c r="H2611" s="1"/>
    </row>
    <row r="2612" spans="6:8" x14ac:dyDescent="0.25">
      <c r="F2612" s="3"/>
      <c r="H2612" s="1"/>
    </row>
    <row r="2613" spans="6:8" x14ac:dyDescent="0.25">
      <c r="F2613" s="3"/>
      <c r="H2613" s="1"/>
    </row>
    <row r="2614" spans="6:8" x14ac:dyDescent="0.25">
      <c r="F2614" s="3"/>
      <c r="H2614" s="1"/>
    </row>
    <row r="2615" spans="6:8" x14ac:dyDescent="0.25">
      <c r="F2615" s="3"/>
      <c r="H2615" s="1"/>
    </row>
    <row r="2616" spans="6:8" x14ac:dyDescent="0.25">
      <c r="F2616" s="3"/>
      <c r="H2616" s="1"/>
    </row>
    <row r="2617" spans="6:8" x14ac:dyDescent="0.25">
      <c r="F2617" s="3"/>
      <c r="H2617" s="1"/>
    </row>
    <row r="2618" spans="6:8" x14ac:dyDescent="0.25">
      <c r="F2618" s="3"/>
      <c r="H2618" s="1"/>
    </row>
    <row r="2619" spans="6:8" x14ac:dyDescent="0.25">
      <c r="F2619" s="3"/>
      <c r="H2619" s="1"/>
    </row>
    <row r="2620" spans="6:8" x14ac:dyDescent="0.25">
      <c r="F2620" s="3"/>
      <c r="H2620" s="1"/>
    </row>
    <row r="2621" spans="6:8" x14ac:dyDescent="0.25">
      <c r="F2621" s="3"/>
      <c r="H2621" s="1"/>
    </row>
    <row r="2622" spans="6:8" x14ac:dyDescent="0.25">
      <c r="F2622" s="3"/>
      <c r="H2622" s="1"/>
    </row>
    <row r="2623" spans="6:8" x14ac:dyDescent="0.25">
      <c r="F2623" s="3"/>
      <c r="H2623" s="1"/>
    </row>
    <row r="2624" spans="6:8" x14ac:dyDescent="0.25">
      <c r="F2624" s="3"/>
      <c r="H2624" s="1"/>
    </row>
    <row r="2625" spans="6:8" x14ac:dyDescent="0.25">
      <c r="F2625" s="3"/>
      <c r="H2625" s="1"/>
    </row>
    <row r="2626" spans="6:8" x14ac:dyDescent="0.25">
      <c r="F2626" s="3"/>
      <c r="H2626" s="1"/>
    </row>
    <row r="2627" spans="6:8" x14ac:dyDescent="0.25">
      <c r="F2627" s="3"/>
      <c r="H2627" s="1"/>
    </row>
    <row r="2628" spans="6:8" x14ac:dyDescent="0.25">
      <c r="F2628" s="3"/>
      <c r="H2628" s="1"/>
    </row>
    <row r="2629" spans="6:8" x14ac:dyDescent="0.25">
      <c r="F2629" s="3"/>
      <c r="H2629" s="1"/>
    </row>
    <row r="2630" spans="6:8" x14ac:dyDescent="0.25">
      <c r="F2630" s="3"/>
      <c r="H2630" s="1"/>
    </row>
    <row r="2631" spans="6:8" x14ac:dyDescent="0.25">
      <c r="F2631" s="3"/>
      <c r="H2631" s="1"/>
    </row>
    <row r="2632" spans="6:8" x14ac:dyDescent="0.25">
      <c r="F2632" s="3"/>
      <c r="H2632" s="1"/>
    </row>
    <row r="2633" spans="6:8" x14ac:dyDescent="0.25">
      <c r="F2633" s="3"/>
      <c r="H2633" s="1"/>
    </row>
    <row r="2634" spans="6:8" x14ac:dyDescent="0.25">
      <c r="F2634" s="3"/>
      <c r="H2634" s="1"/>
    </row>
    <row r="2635" spans="6:8" x14ac:dyDescent="0.25">
      <c r="F2635" s="3"/>
      <c r="H2635" s="1"/>
    </row>
    <row r="2636" spans="6:8" x14ac:dyDescent="0.25">
      <c r="F2636" s="3"/>
      <c r="H2636" s="1"/>
    </row>
    <row r="2637" spans="6:8" x14ac:dyDescent="0.25">
      <c r="F2637" s="3"/>
      <c r="H2637" s="1"/>
    </row>
    <row r="2638" spans="6:8" x14ac:dyDescent="0.25">
      <c r="F2638" s="3"/>
      <c r="H2638" s="1"/>
    </row>
    <row r="2639" spans="6:8" x14ac:dyDescent="0.25">
      <c r="F2639" s="3"/>
      <c r="H2639" s="1"/>
    </row>
    <row r="2640" spans="6:8" x14ac:dyDescent="0.25">
      <c r="F2640" s="3"/>
      <c r="H2640" s="1"/>
    </row>
    <row r="2641" spans="6:8" x14ac:dyDescent="0.25">
      <c r="F2641" s="3"/>
      <c r="H2641" s="1"/>
    </row>
    <row r="2642" spans="6:8" x14ac:dyDescent="0.25">
      <c r="F2642" s="3"/>
      <c r="H2642" s="1"/>
    </row>
    <row r="2643" spans="6:8" x14ac:dyDescent="0.25">
      <c r="F2643" s="3"/>
      <c r="H2643" s="1"/>
    </row>
    <row r="2644" spans="6:8" x14ac:dyDescent="0.25">
      <c r="F2644" s="3"/>
      <c r="H2644" s="1"/>
    </row>
    <row r="2645" spans="6:8" x14ac:dyDescent="0.25">
      <c r="F2645" s="3"/>
      <c r="H2645" s="1"/>
    </row>
    <row r="2646" spans="6:8" x14ac:dyDescent="0.25">
      <c r="F2646" s="3"/>
      <c r="H2646" s="1"/>
    </row>
    <row r="2647" spans="6:8" x14ac:dyDescent="0.25">
      <c r="F2647" s="3"/>
      <c r="H2647" s="1"/>
    </row>
    <row r="2648" spans="6:8" x14ac:dyDescent="0.25">
      <c r="F2648" s="3"/>
      <c r="H2648" s="1"/>
    </row>
    <row r="2649" spans="6:8" x14ac:dyDescent="0.25">
      <c r="F2649" s="3"/>
      <c r="H2649" s="1"/>
    </row>
    <row r="2650" spans="6:8" x14ac:dyDescent="0.25">
      <c r="F2650" s="3"/>
      <c r="H2650" s="1"/>
    </row>
    <row r="2651" spans="6:8" x14ac:dyDescent="0.25">
      <c r="F2651" s="3"/>
      <c r="H2651" s="1"/>
    </row>
    <row r="2652" spans="6:8" x14ac:dyDescent="0.25">
      <c r="F2652" s="3"/>
      <c r="H2652" s="1"/>
    </row>
    <row r="2653" spans="6:8" x14ac:dyDescent="0.25">
      <c r="F2653" s="3"/>
      <c r="H2653" s="1"/>
    </row>
    <row r="2654" spans="6:8" x14ac:dyDescent="0.25">
      <c r="F2654" s="3"/>
      <c r="H2654" s="1"/>
    </row>
    <row r="2655" spans="6:8" x14ac:dyDescent="0.25">
      <c r="F2655" s="3"/>
      <c r="H2655" s="1"/>
    </row>
    <row r="2656" spans="6:8" x14ac:dyDescent="0.25">
      <c r="F2656" s="3"/>
      <c r="H2656" s="1"/>
    </row>
    <row r="2657" spans="6:8" x14ac:dyDescent="0.25">
      <c r="F2657" s="3"/>
      <c r="H2657" s="1"/>
    </row>
    <row r="2658" spans="6:8" x14ac:dyDescent="0.25">
      <c r="F2658" s="3"/>
      <c r="H2658" s="1"/>
    </row>
    <row r="2659" spans="6:8" x14ac:dyDescent="0.25">
      <c r="F2659" s="3"/>
      <c r="H2659" s="1"/>
    </row>
    <row r="2660" spans="6:8" x14ac:dyDescent="0.25">
      <c r="F2660" s="3"/>
      <c r="H2660" s="1"/>
    </row>
    <row r="2661" spans="6:8" x14ac:dyDescent="0.25">
      <c r="F2661" s="3"/>
      <c r="H2661" s="1"/>
    </row>
    <row r="2662" spans="6:8" x14ac:dyDescent="0.25">
      <c r="F2662" s="3"/>
      <c r="H2662" s="1"/>
    </row>
    <row r="2663" spans="6:8" x14ac:dyDescent="0.25">
      <c r="F2663" s="3"/>
      <c r="H2663" s="1"/>
    </row>
    <row r="2664" spans="6:8" x14ac:dyDescent="0.25">
      <c r="F2664" s="3"/>
      <c r="H2664" s="1"/>
    </row>
    <row r="2665" spans="6:8" x14ac:dyDescent="0.25">
      <c r="F2665" s="3"/>
      <c r="H2665" s="1"/>
    </row>
    <row r="2666" spans="6:8" x14ac:dyDescent="0.25">
      <c r="F2666" s="3"/>
      <c r="H2666" s="1"/>
    </row>
    <row r="2667" spans="6:8" x14ac:dyDescent="0.25">
      <c r="F2667" s="3"/>
      <c r="H2667" s="1"/>
    </row>
    <row r="2668" spans="6:8" x14ac:dyDescent="0.25">
      <c r="F2668" s="3"/>
      <c r="H2668" s="1"/>
    </row>
    <row r="2669" spans="6:8" x14ac:dyDescent="0.25">
      <c r="F2669" s="3"/>
      <c r="H2669" s="1"/>
    </row>
    <row r="2670" spans="6:8" x14ac:dyDescent="0.25">
      <c r="F2670" s="3"/>
      <c r="H2670" s="1"/>
    </row>
    <row r="2671" spans="6:8" x14ac:dyDescent="0.25">
      <c r="F2671" s="3"/>
      <c r="H2671" s="1"/>
    </row>
    <row r="2672" spans="6:8" x14ac:dyDescent="0.25">
      <c r="F2672" s="3"/>
      <c r="H2672" s="1"/>
    </row>
    <row r="2673" spans="6:8" x14ac:dyDescent="0.25">
      <c r="F2673" s="3"/>
      <c r="H2673" s="1"/>
    </row>
    <row r="2674" spans="6:8" x14ac:dyDescent="0.25">
      <c r="F2674" s="3"/>
      <c r="H2674" s="1"/>
    </row>
    <row r="2675" spans="6:8" x14ac:dyDescent="0.25">
      <c r="F2675" s="3"/>
      <c r="H2675" s="1"/>
    </row>
    <row r="2676" spans="6:8" x14ac:dyDescent="0.25">
      <c r="F2676" s="3"/>
      <c r="H2676" s="1"/>
    </row>
    <row r="2677" spans="6:8" x14ac:dyDescent="0.25">
      <c r="F2677" s="3"/>
      <c r="H2677" s="1"/>
    </row>
    <row r="2678" spans="6:8" x14ac:dyDescent="0.25">
      <c r="F2678" s="3"/>
      <c r="H2678" s="1"/>
    </row>
    <row r="2679" spans="6:8" x14ac:dyDescent="0.25">
      <c r="F2679" s="3"/>
      <c r="H2679" s="1"/>
    </row>
    <row r="2680" spans="6:8" x14ac:dyDescent="0.25">
      <c r="F2680" s="3"/>
      <c r="H2680" s="1"/>
    </row>
    <row r="2681" spans="6:8" x14ac:dyDescent="0.25">
      <c r="F2681" s="3"/>
      <c r="H2681" s="1"/>
    </row>
    <row r="2682" spans="6:8" x14ac:dyDescent="0.25">
      <c r="F2682" s="3"/>
      <c r="H2682" s="1"/>
    </row>
    <row r="2683" spans="6:8" x14ac:dyDescent="0.25">
      <c r="F2683" s="3"/>
      <c r="H2683" s="1"/>
    </row>
    <row r="2684" spans="6:8" x14ac:dyDescent="0.25">
      <c r="F2684" s="3"/>
      <c r="H2684" s="1"/>
    </row>
    <row r="2685" spans="6:8" x14ac:dyDescent="0.25">
      <c r="F2685" s="3"/>
      <c r="H2685" s="1"/>
    </row>
    <row r="2686" spans="6:8" x14ac:dyDescent="0.25">
      <c r="F2686" s="3"/>
      <c r="H2686" s="1"/>
    </row>
    <row r="2687" spans="6:8" x14ac:dyDescent="0.25">
      <c r="F2687" s="3"/>
      <c r="H2687" s="1"/>
    </row>
    <row r="2688" spans="6:8" x14ac:dyDescent="0.25">
      <c r="F2688" s="3"/>
      <c r="H2688" s="1"/>
    </row>
    <row r="2689" spans="6:8" x14ac:dyDescent="0.25">
      <c r="F2689" s="3"/>
      <c r="H2689" s="1"/>
    </row>
    <row r="2690" spans="6:8" x14ac:dyDescent="0.25">
      <c r="F2690" s="3"/>
      <c r="H2690" s="1"/>
    </row>
    <row r="2691" spans="6:8" x14ac:dyDescent="0.25">
      <c r="F2691" s="3"/>
      <c r="H2691" s="1"/>
    </row>
    <row r="2692" spans="6:8" x14ac:dyDescent="0.25">
      <c r="F2692" s="3"/>
      <c r="H2692" s="1"/>
    </row>
    <row r="2693" spans="6:8" x14ac:dyDescent="0.25">
      <c r="F2693" s="3"/>
      <c r="H2693" s="1"/>
    </row>
    <row r="2694" spans="6:8" x14ac:dyDescent="0.25">
      <c r="F2694" s="3"/>
      <c r="H2694" s="1"/>
    </row>
    <row r="2695" spans="6:8" x14ac:dyDescent="0.25">
      <c r="F2695" s="3"/>
      <c r="H2695" s="1"/>
    </row>
    <row r="2696" spans="6:8" x14ac:dyDescent="0.25">
      <c r="F2696" s="3"/>
      <c r="H2696" s="1"/>
    </row>
    <row r="2697" spans="6:8" x14ac:dyDescent="0.25">
      <c r="F2697" s="3"/>
      <c r="H2697" s="1"/>
    </row>
    <row r="2698" spans="6:8" x14ac:dyDescent="0.25">
      <c r="F2698" s="3"/>
      <c r="H2698" s="1"/>
    </row>
    <row r="2699" spans="6:8" x14ac:dyDescent="0.25">
      <c r="F2699" s="3"/>
      <c r="H2699" s="1"/>
    </row>
    <row r="2700" spans="6:8" x14ac:dyDescent="0.25">
      <c r="F2700" s="3"/>
      <c r="H2700" s="1"/>
    </row>
    <row r="2701" spans="6:8" x14ac:dyDescent="0.25">
      <c r="F2701" s="3"/>
      <c r="H2701" s="1"/>
    </row>
    <row r="2702" spans="6:8" x14ac:dyDescent="0.25">
      <c r="F2702" s="3"/>
      <c r="H2702" s="1"/>
    </row>
    <row r="2703" spans="6:8" x14ac:dyDescent="0.25">
      <c r="F2703" s="3"/>
      <c r="H2703" s="1"/>
    </row>
    <row r="2704" spans="6:8" x14ac:dyDescent="0.25">
      <c r="F2704" s="3"/>
      <c r="H2704" s="1"/>
    </row>
    <row r="2705" spans="6:8" x14ac:dyDescent="0.25">
      <c r="F2705" s="3"/>
      <c r="H2705" s="1"/>
    </row>
    <row r="2706" spans="6:8" x14ac:dyDescent="0.25">
      <c r="F2706" s="3"/>
      <c r="H2706" s="1"/>
    </row>
    <row r="2707" spans="6:8" x14ac:dyDescent="0.25">
      <c r="F2707" s="3"/>
      <c r="H2707" s="1"/>
    </row>
    <row r="2708" spans="6:8" x14ac:dyDescent="0.25">
      <c r="F2708" s="3"/>
      <c r="H2708" s="1"/>
    </row>
    <row r="2709" spans="6:8" x14ac:dyDescent="0.25">
      <c r="F2709" s="3"/>
      <c r="H2709" s="1"/>
    </row>
    <row r="2710" spans="6:8" x14ac:dyDescent="0.25">
      <c r="F2710" s="3"/>
      <c r="H2710" s="1"/>
    </row>
    <row r="2711" spans="6:8" x14ac:dyDescent="0.25">
      <c r="F2711" s="3"/>
      <c r="H2711" s="1"/>
    </row>
    <row r="2712" spans="6:8" x14ac:dyDescent="0.25">
      <c r="F2712" s="3"/>
      <c r="H2712" s="1"/>
    </row>
    <row r="2713" spans="6:8" x14ac:dyDescent="0.25">
      <c r="F2713" s="3"/>
      <c r="H2713" s="1"/>
    </row>
    <row r="2714" spans="6:8" x14ac:dyDescent="0.25">
      <c r="F2714" s="3"/>
      <c r="H2714" s="1"/>
    </row>
    <row r="2715" spans="6:8" x14ac:dyDescent="0.25">
      <c r="F2715" s="3"/>
      <c r="H2715" s="1"/>
    </row>
    <row r="2716" spans="6:8" x14ac:dyDescent="0.25">
      <c r="F2716" s="3"/>
      <c r="H2716" s="1"/>
    </row>
    <row r="2717" spans="6:8" x14ac:dyDescent="0.25">
      <c r="F2717" s="3"/>
      <c r="H2717" s="1"/>
    </row>
    <row r="2718" spans="6:8" x14ac:dyDescent="0.25">
      <c r="F2718" s="3"/>
      <c r="H2718" s="1"/>
    </row>
    <row r="2719" spans="6:8" x14ac:dyDescent="0.25">
      <c r="F2719" s="3"/>
      <c r="H2719" s="1"/>
    </row>
    <row r="2720" spans="6:8" x14ac:dyDescent="0.25">
      <c r="F2720" s="3"/>
      <c r="H2720" s="1"/>
    </row>
    <row r="2721" spans="6:8" x14ac:dyDescent="0.25">
      <c r="F2721" s="3"/>
      <c r="H2721" s="1"/>
    </row>
    <row r="2722" spans="6:8" x14ac:dyDescent="0.25">
      <c r="F2722" s="3"/>
      <c r="H2722" s="1"/>
    </row>
    <row r="2723" spans="6:8" x14ac:dyDescent="0.25">
      <c r="F2723" s="3"/>
      <c r="H2723" s="1"/>
    </row>
    <row r="2724" spans="6:8" x14ac:dyDescent="0.25">
      <c r="F2724" s="3"/>
      <c r="H2724" s="1"/>
    </row>
    <row r="2725" spans="6:8" x14ac:dyDescent="0.25">
      <c r="F2725" s="3"/>
      <c r="H2725" s="1"/>
    </row>
    <row r="2726" spans="6:8" x14ac:dyDescent="0.25">
      <c r="F2726" s="3"/>
      <c r="H2726" s="1"/>
    </row>
    <row r="2727" spans="6:8" x14ac:dyDescent="0.25">
      <c r="F2727" s="3"/>
      <c r="H2727" s="1"/>
    </row>
    <row r="2728" spans="6:8" x14ac:dyDescent="0.25">
      <c r="F2728" s="3"/>
      <c r="H2728" s="1"/>
    </row>
    <row r="2729" spans="6:8" x14ac:dyDescent="0.25">
      <c r="F2729" s="1"/>
      <c r="H2729" s="1"/>
    </row>
    <row r="2730" spans="6:8" x14ac:dyDescent="0.25">
      <c r="F2730" s="1"/>
      <c r="H2730" s="1"/>
    </row>
    <row r="2731" spans="6:8" x14ac:dyDescent="0.25">
      <c r="F2731" s="1"/>
      <c r="H2731" s="1"/>
    </row>
    <row r="2732" spans="6:8" x14ac:dyDescent="0.25">
      <c r="F2732" s="1"/>
      <c r="H2732" s="1"/>
    </row>
    <row r="2733" spans="6:8" x14ac:dyDescent="0.25">
      <c r="F2733" s="1"/>
      <c r="H2733" s="1"/>
    </row>
    <row r="2734" spans="6:8" x14ac:dyDescent="0.25">
      <c r="F2734" s="1"/>
      <c r="H2734" s="1"/>
    </row>
    <row r="2735" spans="6:8" x14ac:dyDescent="0.25">
      <c r="F2735" s="1"/>
      <c r="H2735" s="1"/>
    </row>
    <row r="2736" spans="6:8" x14ac:dyDescent="0.25">
      <c r="F2736" s="1"/>
      <c r="H2736" s="1"/>
    </row>
    <row r="2737" spans="6:8" x14ac:dyDescent="0.25">
      <c r="F2737" s="1"/>
      <c r="H2737" s="1"/>
    </row>
    <row r="2738" spans="6:8" x14ac:dyDescent="0.25">
      <c r="F2738" s="1"/>
      <c r="H2738" s="1"/>
    </row>
    <row r="2739" spans="6:8" x14ac:dyDescent="0.25">
      <c r="F2739" s="1"/>
      <c r="H2739" s="1"/>
    </row>
    <row r="2740" spans="6:8" x14ac:dyDescent="0.25">
      <c r="F2740" s="1"/>
      <c r="H2740" s="1"/>
    </row>
    <row r="2741" spans="6:8" x14ac:dyDescent="0.25">
      <c r="F2741" s="1"/>
      <c r="H2741" s="1"/>
    </row>
    <row r="2742" spans="6:8" x14ac:dyDescent="0.25">
      <c r="F2742" s="1"/>
      <c r="H2742" s="1"/>
    </row>
    <row r="2743" spans="6:8" x14ac:dyDescent="0.25">
      <c r="F2743" s="1"/>
      <c r="H2743" s="1"/>
    </row>
    <row r="2744" spans="6:8" x14ac:dyDescent="0.25">
      <c r="F2744" s="1"/>
      <c r="H2744" s="1"/>
    </row>
    <row r="2745" spans="6:8" x14ac:dyDescent="0.25">
      <c r="F2745" s="1"/>
      <c r="H2745" s="1"/>
    </row>
    <row r="2746" spans="6:8" x14ac:dyDescent="0.25">
      <c r="F2746" s="1"/>
      <c r="H2746" s="1"/>
    </row>
    <row r="2747" spans="6:8" x14ac:dyDescent="0.25">
      <c r="F2747" s="1"/>
      <c r="H2747" s="1"/>
    </row>
    <row r="2748" spans="6:8" x14ac:dyDescent="0.25">
      <c r="F2748" s="1"/>
      <c r="H2748" s="1"/>
    </row>
    <row r="2749" spans="6:8" x14ac:dyDescent="0.25">
      <c r="F2749" s="1"/>
      <c r="H2749" s="1"/>
    </row>
    <row r="2750" spans="6:8" x14ac:dyDescent="0.25">
      <c r="F2750" s="1"/>
      <c r="H2750" s="1"/>
    </row>
    <row r="2751" spans="6:8" x14ac:dyDescent="0.25">
      <c r="F2751" s="1"/>
      <c r="H2751" s="1"/>
    </row>
    <row r="2752" spans="6:8" x14ac:dyDescent="0.25">
      <c r="F2752" s="1"/>
      <c r="H2752" s="1"/>
    </row>
    <row r="2753" spans="6:8" x14ac:dyDescent="0.25">
      <c r="F2753" s="1"/>
      <c r="H2753" s="1"/>
    </row>
    <row r="2754" spans="6:8" x14ac:dyDescent="0.25">
      <c r="F2754" s="1"/>
      <c r="H2754" s="1"/>
    </row>
  </sheetData>
  <mergeCells count="2">
    <mergeCell ref="G2:J2"/>
    <mergeCell ref="G3:J3"/>
  </mergeCells>
  <conditionalFormatting sqref="I5:I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28">
    <cfRule type="colorScale" priority="2">
      <colorScale>
        <cfvo type="min"/>
        <cfvo type="max"/>
        <color rgb="FFFFEF9C"/>
        <color rgb="FF63BE7B"/>
      </colorScale>
    </cfRule>
  </conditionalFormatting>
  <conditionalFormatting sqref="J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Add_Open">
                <anchor moveWithCells="1">
                  <from>
                    <xdr:col>3</xdr:col>
                    <xdr:colOff>95250</xdr:colOff>
                    <xdr:row>1</xdr:row>
                    <xdr:rowOff>9525</xdr:rowOff>
                  </from>
                  <to>
                    <xdr:col>4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3_Click">
                <anchor moveWithCells="1">
                  <from>
                    <xdr:col>11</xdr:col>
                    <xdr:colOff>95250</xdr:colOff>
                    <xdr:row>1</xdr:row>
                    <xdr:rowOff>19050</xdr:rowOff>
                  </from>
                  <to>
                    <xdr:col>12</xdr:col>
                    <xdr:colOff>361950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heet1.Add_Data">
                <anchor moveWithCells="1" sizeWithCells="1">
                  <from>
                    <xdr:col>11</xdr:col>
                    <xdr:colOff>95250</xdr:colOff>
                    <xdr:row>3</xdr:row>
                    <xdr:rowOff>161925</xdr:rowOff>
                  </from>
                  <to>
                    <xdr:col>12</xdr:col>
                    <xdr:colOff>342900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heet1.Add_Data">
                <anchor moveWithCells="1" sizeWithCells="1">
                  <from>
                    <xdr:col>11</xdr:col>
                    <xdr:colOff>85725</xdr:colOff>
                    <xdr:row>6</xdr:row>
                    <xdr:rowOff>114300</xdr:rowOff>
                  </from>
                  <to>
                    <xdr:col>12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OFFSET(References!$A$2,0,0,COUNTA(LOBs),-1)</xm:f>
          </x14:formula1>
          <xm:sqref>G3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2824"/>
  <sheetViews>
    <sheetView zoomScale="80" zoomScaleNormal="80" workbookViewId="0">
      <selection activeCell="H20" sqref="H20"/>
    </sheetView>
  </sheetViews>
  <sheetFormatPr defaultRowHeight="12.75" x14ac:dyDescent="0.2"/>
  <cols>
    <col min="1" max="2" width="9.140625" style="3"/>
    <col min="3" max="7" width="9.140625" style="39"/>
    <col min="8" max="8" width="9.140625" style="3"/>
    <col min="9" max="9" width="1.7109375" style="1" customWidth="1"/>
    <col min="10" max="11" width="9.140625" style="1"/>
    <col min="12" max="16" width="9.140625" style="39"/>
    <col min="17" max="17" width="9.140625" style="3"/>
    <col min="18" max="18" width="1.7109375" style="1" customWidth="1"/>
    <col min="19" max="20" width="9.140625" style="1"/>
    <col min="21" max="25" width="9.140625" style="39"/>
    <col min="26" max="26" width="9.140625" style="3"/>
    <col min="27" max="27" width="1.7109375" style="1" customWidth="1"/>
    <col min="28" max="29" width="9.140625" style="1"/>
    <col min="30" max="34" width="9.140625" style="39"/>
    <col min="35" max="35" width="9.140625" style="3"/>
    <col min="36" max="16384" width="9.140625" style="1"/>
  </cols>
  <sheetData>
    <row r="1" spans="1:35" x14ac:dyDescent="0.2">
      <c r="A1" s="48" t="s">
        <v>7</v>
      </c>
      <c r="B1" s="49"/>
      <c r="C1" s="49"/>
      <c r="D1" s="49"/>
      <c r="E1" s="49"/>
      <c r="F1" s="49"/>
      <c r="G1" s="49"/>
      <c r="H1" s="49"/>
      <c r="J1" s="52" t="s">
        <v>8</v>
      </c>
      <c r="K1" s="53"/>
      <c r="L1" s="53"/>
      <c r="M1" s="53"/>
      <c r="N1" s="53"/>
      <c r="O1" s="53"/>
      <c r="P1" s="53"/>
      <c r="Q1" s="53"/>
      <c r="S1" s="46" t="s">
        <v>9</v>
      </c>
      <c r="T1" s="46"/>
      <c r="U1" s="46"/>
      <c r="V1" s="46"/>
      <c r="W1" s="46"/>
      <c r="X1" s="46"/>
      <c r="Y1" s="46"/>
      <c r="Z1" s="15"/>
      <c r="AB1" s="46" t="s">
        <v>10</v>
      </c>
      <c r="AC1" s="46"/>
      <c r="AD1" s="46"/>
      <c r="AE1" s="46"/>
      <c r="AF1" s="46"/>
      <c r="AG1" s="46"/>
      <c r="AH1" s="46"/>
      <c r="AI1" s="15"/>
    </row>
    <row r="2" spans="1:35" x14ac:dyDescent="0.2">
      <c r="A2" s="50" t="s">
        <v>0</v>
      </c>
      <c r="B2" s="51"/>
      <c r="C2" s="51"/>
      <c r="D2" s="51"/>
      <c r="E2" s="51"/>
      <c r="F2" s="51"/>
      <c r="G2" s="51"/>
      <c r="H2" s="51"/>
      <c r="J2" s="50" t="s">
        <v>0</v>
      </c>
      <c r="K2" s="51"/>
      <c r="L2" s="51"/>
      <c r="M2" s="51"/>
      <c r="N2" s="51"/>
      <c r="O2" s="51"/>
      <c r="P2" s="51"/>
      <c r="Q2" s="51"/>
      <c r="S2" s="47" t="s">
        <v>0</v>
      </c>
      <c r="T2" s="47"/>
      <c r="U2" s="47"/>
      <c r="V2" s="47"/>
      <c r="W2" s="47"/>
      <c r="X2" s="47"/>
      <c r="Y2" s="47"/>
      <c r="Z2" s="16"/>
      <c r="AB2" s="47" t="s">
        <v>0</v>
      </c>
      <c r="AC2" s="47"/>
      <c r="AD2" s="47"/>
      <c r="AE2" s="47"/>
      <c r="AF2" s="47"/>
      <c r="AG2" s="47"/>
      <c r="AH2" s="47"/>
      <c r="AI2" s="16"/>
    </row>
    <row r="3" spans="1:35" x14ac:dyDescent="0.2">
      <c r="A3" s="4" t="s">
        <v>1</v>
      </c>
      <c r="B3" s="4" t="s">
        <v>11</v>
      </c>
      <c r="C3" s="40" t="s">
        <v>2</v>
      </c>
      <c r="D3" s="40" t="s">
        <v>3</v>
      </c>
      <c r="E3" s="40" t="s">
        <v>4</v>
      </c>
      <c r="F3" s="40" t="s">
        <v>5</v>
      </c>
      <c r="G3" s="40" t="s">
        <v>6</v>
      </c>
      <c r="H3" s="4" t="s">
        <v>20</v>
      </c>
      <c r="J3" s="4" t="s">
        <v>1</v>
      </c>
      <c r="K3" s="4" t="s">
        <v>11</v>
      </c>
      <c r="L3" s="40" t="s">
        <v>2</v>
      </c>
      <c r="M3" s="40" t="s">
        <v>3</v>
      </c>
      <c r="N3" s="40" t="s">
        <v>4</v>
      </c>
      <c r="O3" s="40" t="s">
        <v>5</v>
      </c>
      <c r="P3" s="40" t="s">
        <v>6</v>
      </c>
      <c r="Q3" s="17" t="s">
        <v>20</v>
      </c>
      <c r="S3" s="4" t="s">
        <v>1</v>
      </c>
      <c r="T3" s="4" t="s">
        <v>11</v>
      </c>
      <c r="U3" s="40" t="s">
        <v>2</v>
      </c>
      <c r="V3" s="40" t="s">
        <v>3</v>
      </c>
      <c r="W3" s="40" t="s">
        <v>4</v>
      </c>
      <c r="X3" s="40" t="s">
        <v>5</v>
      </c>
      <c r="Y3" s="40" t="s">
        <v>6</v>
      </c>
      <c r="Z3" s="17" t="s">
        <v>20</v>
      </c>
      <c r="AB3" s="7" t="s">
        <v>1</v>
      </c>
      <c r="AC3" s="7" t="s">
        <v>11</v>
      </c>
      <c r="AD3" s="37" t="s">
        <v>2</v>
      </c>
      <c r="AE3" s="37" t="s">
        <v>3</v>
      </c>
      <c r="AF3" s="37" t="s">
        <v>4</v>
      </c>
      <c r="AG3" s="37" t="s">
        <v>5</v>
      </c>
      <c r="AH3" s="37" t="s">
        <v>6</v>
      </c>
      <c r="AI3" s="17" t="s">
        <v>20</v>
      </c>
    </row>
    <row r="4" spans="1:35" ht="15" x14ac:dyDescent="0.2">
      <c r="A4" s="5">
        <v>0.45833333333333331</v>
      </c>
      <c r="B4" s="31">
        <v>1</v>
      </c>
      <c r="C4" s="40">
        <v>0.1</v>
      </c>
      <c r="D4" s="40" t="str">
        <f t="shared" ref="D4:G19" si="0">D$3&amp;$A$1</f>
        <v>TueMAPD</v>
      </c>
      <c r="E4" s="40" t="str">
        <f t="shared" si="0"/>
        <v>WedMAPD</v>
      </c>
      <c r="F4" s="40" t="str">
        <f t="shared" si="0"/>
        <v>ThuMAPD</v>
      </c>
      <c r="G4" s="40" t="str">
        <f t="shared" si="0"/>
        <v>FriMAPD</v>
      </c>
      <c r="H4" s="14" t="str">
        <f>IF($A4="","",LEFT($A$1,2)&amp;(RIGHT($A4,2)+1))</f>
        <v>MA34</v>
      </c>
      <c r="J4" s="5">
        <v>0.33333333333333331</v>
      </c>
      <c r="K4" s="31">
        <v>1</v>
      </c>
      <c r="L4" s="38" t="str">
        <f>L$3&amp;$J$1</f>
        <v>MonPMHS</v>
      </c>
      <c r="M4" s="38" t="str">
        <f t="shared" ref="M4:P19" si="1">M$3&amp;$J$1</f>
        <v>TuePMHS</v>
      </c>
      <c r="N4" s="38" t="str">
        <f t="shared" si="1"/>
        <v>WedPMHS</v>
      </c>
      <c r="O4" s="38" t="str">
        <f t="shared" si="1"/>
        <v>ThuPMHS</v>
      </c>
      <c r="P4" s="38" t="str">
        <f t="shared" si="1"/>
        <v>FriPMHS</v>
      </c>
      <c r="Q4" s="14" t="str">
        <f>IF($J4="","",LEFT($J$1,2)&amp;(RIGHT($J4,2)+1))</f>
        <v>PM34</v>
      </c>
      <c r="S4" s="5">
        <v>0.33333333333333331</v>
      </c>
      <c r="T4" s="31">
        <v>1</v>
      </c>
      <c r="U4" s="38" t="str">
        <f>U$3&amp;$S$1</f>
        <v>MonMedPro</v>
      </c>
      <c r="V4" s="38" t="str">
        <f t="shared" ref="V4:Y19" si="2">V$3&amp;$S$1</f>
        <v>TueMedPro</v>
      </c>
      <c r="W4" s="38" t="str">
        <f t="shared" si="2"/>
        <v>WedMedPro</v>
      </c>
      <c r="X4" s="38" t="str">
        <f t="shared" si="2"/>
        <v>ThuMedPro</v>
      </c>
      <c r="Y4" s="38" t="str">
        <f t="shared" si="2"/>
        <v>FriMedPro</v>
      </c>
      <c r="Z4" s="14" t="str">
        <f>IF($S4="","",LEFT($S$1,2)&amp;(RIGHT($S4,2)+1))</f>
        <v>Me34</v>
      </c>
      <c r="AB4" s="5">
        <v>0.29166666666666669</v>
      </c>
      <c r="AC4" s="31">
        <v>1</v>
      </c>
      <c r="AD4" s="38" t="str">
        <f>AD$3&amp;$AB$1</f>
        <v>MonPWR</v>
      </c>
      <c r="AE4" s="38" t="str">
        <f t="shared" ref="AE4:AH19" si="3">AE$3&amp;$AB$1</f>
        <v>TuePWR</v>
      </c>
      <c r="AF4" s="38" t="str">
        <f t="shared" si="3"/>
        <v>WedPWR</v>
      </c>
      <c r="AG4" s="38" t="str">
        <f t="shared" si="3"/>
        <v>ThuPWR</v>
      </c>
      <c r="AH4" s="38" t="str">
        <f t="shared" si="3"/>
        <v>FriPWR</v>
      </c>
      <c r="AI4" s="14" t="str">
        <f>IF($AB4="","",LEFT($AB$1,2)&amp;(RIGHT($AB4,2)+1))</f>
        <v>PW68</v>
      </c>
    </row>
    <row r="5" spans="1:35" ht="15" x14ac:dyDescent="0.2">
      <c r="A5" s="5">
        <v>0.47916666666666669</v>
      </c>
      <c r="B5" s="31">
        <v>2</v>
      </c>
      <c r="C5" s="40">
        <v>2</v>
      </c>
      <c r="D5" s="40" t="str">
        <f t="shared" si="0"/>
        <v>TueMAPD</v>
      </c>
      <c r="E5" s="40" t="str">
        <f t="shared" si="0"/>
        <v>WedMAPD</v>
      </c>
      <c r="F5" s="40" t="str">
        <f t="shared" si="0"/>
        <v>ThuMAPD</v>
      </c>
      <c r="G5" s="40" t="str">
        <f t="shared" si="0"/>
        <v>FriMAPD</v>
      </c>
      <c r="H5" s="14" t="str">
        <f t="shared" ref="H5:H21" si="4">IF($A5="","",LEFT($A$1,2)&amp;(RIGHT($A5,2)+1))</f>
        <v>MA68</v>
      </c>
      <c r="J5" s="5">
        <v>0.35416666666666669</v>
      </c>
      <c r="K5" s="31">
        <v>2</v>
      </c>
      <c r="L5" s="38" t="str">
        <f t="shared" ref="L5:P27" si="5">L$3&amp;$J$1</f>
        <v>MonPMHS</v>
      </c>
      <c r="M5" s="38" t="str">
        <f t="shared" si="1"/>
        <v>TuePMHS</v>
      </c>
      <c r="N5" s="38" t="str">
        <f t="shared" si="1"/>
        <v>WedPMHS</v>
      </c>
      <c r="O5" s="38" t="str">
        <f t="shared" si="1"/>
        <v>ThuPMHS</v>
      </c>
      <c r="P5" s="38" t="str">
        <f t="shared" si="1"/>
        <v>FriPMHS</v>
      </c>
      <c r="Q5" s="14" t="str">
        <f t="shared" ref="Q5:Q27" si="6">IF($J5="","",LEFT($J$1,2)&amp;(RIGHT($J5,2)+1))</f>
        <v>PM68</v>
      </c>
      <c r="S5" s="5">
        <v>0.35416666666666669</v>
      </c>
      <c r="T5" s="31">
        <v>2</v>
      </c>
      <c r="U5" s="38" t="str">
        <f t="shared" ref="U5:Y27" si="7">U$3&amp;$S$1</f>
        <v>MonMedPro</v>
      </c>
      <c r="V5" s="38" t="str">
        <f t="shared" si="2"/>
        <v>TueMedPro</v>
      </c>
      <c r="W5" s="38" t="str">
        <f t="shared" si="2"/>
        <v>WedMedPro</v>
      </c>
      <c r="X5" s="38" t="str">
        <f t="shared" si="2"/>
        <v>ThuMedPro</v>
      </c>
      <c r="Y5" s="38" t="str">
        <f t="shared" si="2"/>
        <v>FriMedPro</v>
      </c>
      <c r="Z5" s="14" t="str">
        <f t="shared" ref="Z5:Z27" si="8">IF($S5="","",LEFT($S$1,2)&amp;(RIGHT($S5,2)+1))</f>
        <v>Me68</v>
      </c>
      <c r="AB5" s="5">
        <v>0.3125</v>
      </c>
      <c r="AC5" s="31">
        <v>2</v>
      </c>
      <c r="AD5" s="38" t="str">
        <f t="shared" ref="AD5:AH27" si="9">AD$3&amp;$AB$1</f>
        <v>MonPWR</v>
      </c>
      <c r="AE5" s="38" t="str">
        <f t="shared" si="3"/>
        <v>TuePWR</v>
      </c>
      <c r="AF5" s="38" t="str">
        <f t="shared" si="3"/>
        <v>WedPWR</v>
      </c>
      <c r="AG5" s="38" t="str">
        <f t="shared" si="3"/>
        <v>ThuPWR</v>
      </c>
      <c r="AH5" s="38" t="str">
        <f t="shared" si="3"/>
        <v>FriPWR</v>
      </c>
      <c r="AI5" s="14" t="str">
        <f t="shared" ref="AI5:AI27" si="10">IF($AB5="","",LEFT($AB$1,2)&amp;(RIGHT($AB5,2)+1))</f>
        <v>PW26</v>
      </c>
    </row>
    <row r="6" spans="1:35" ht="15" x14ac:dyDescent="0.2">
      <c r="A6" s="5">
        <v>0.5</v>
      </c>
      <c r="B6" s="31">
        <v>3</v>
      </c>
      <c r="C6" s="40" t="str">
        <f t="shared" ref="C6:G21" si="11">C$3&amp;$A$1</f>
        <v>MonMAPD</v>
      </c>
      <c r="D6" s="40" t="str">
        <f t="shared" si="0"/>
        <v>TueMAPD</v>
      </c>
      <c r="E6" s="40" t="str">
        <f t="shared" si="0"/>
        <v>WedMAPD</v>
      </c>
      <c r="F6" s="40" t="str">
        <f t="shared" si="0"/>
        <v>ThuMAPD</v>
      </c>
      <c r="G6" s="40" t="str">
        <f t="shared" si="0"/>
        <v>FriMAPD</v>
      </c>
      <c r="H6" s="14" t="str">
        <f t="shared" si="4"/>
        <v>MA1.5</v>
      </c>
      <c r="J6" s="5">
        <v>0.375</v>
      </c>
      <c r="K6" s="31">
        <v>3</v>
      </c>
      <c r="L6" s="38" t="str">
        <f t="shared" si="5"/>
        <v>MonPMHS</v>
      </c>
      <c r="M6" s="38" t="str">
        <f t="shared" si="1"/>
        <v>TuePMHS</v>
      </c>
      <c r="N6" s="38" t="str">
        <f t="shared" si="1"/>
        <v>WedPMHS</v>
      </c>
      <c r="O6" s="38" t="str">
        <f t="shared" si="1"/>
        <v>ThuPMHS</v>
      </c>
      <c r="P6" s="38" t="str">
        <f t="shared" si="1"/>
        <v>FriPMHS</v>
      </c>
      <c r="Q6" s="14" t="str">
        <f t="shared" si="6"/>
        <v>PM76</v>
      </c>
      <c r="S6" s="5">
        <v>0.375</v>
      </c>
      <c r="T6" s="31">
        <v>3</v>
      </c>
      <c r="U6" s="38" t="str">
        <f t="shared" si="7"/>
        <v>MonMedPro</v>
      </c>
      <c r="V6" s="38" t="str">
        <f t="shared" si="2"/>
        <v>TueMedPro</v>
      </c>
      <c r="W6" s="38" t="str">
        <f t="shared" si="2"/>
        <v>WedMedPro</v>
      </c>
      <c r="X6" s="38" t="str">
        <f t="shared" si="2"/>
        <v>ThuMedPro</v>
      </c>
      <c r="Y6" s="38" t="str">
        <f t="shared" si="2"/>
        <v>FriMedPro</v>
      </c>
      <c r="Z6" s="14" t="str">
        <f t="shared" si="8"/>
        <v>Me76</v>
      </c>
      <c r="AB6" s="5">
        <v>0.33333333333333298</v>
      </c>
      <c r="AC6" s="31">
        <v>3</v>
      </c>
      <c r="AD6" s="38" t="str">
        <f t="shared" si="9"/>
        <v>MonPWR</v>
      </c>
      <c r="AE6" s="38" t="str">
        <f t="shared" si="3"/>
        <v>TuePWR</v>
      </c>
      <c r="AF6" s="38" t="str">
        <f t="shared" si="3"/>
        <v>WedPWR</v>
      </c>
      <c r="AG6" s="38" t="str">
        <f t="shared" si="3"/>
        <v>ThuPWR</v>
      </c>
      <c r="AH6" s="38" t="str">
        <f t="shared" si="3"/>
        <v>FriPWR</v>
      </c>
      <c r="AI6" s="14" t="str">
        <f t="shared" si="10"/>
        <v>PW34</v>
      </c>
    </row>
    <row r="7" spans="1:35" ht="15" x14ac:dyDescent="0.2">
      <c r="A7" s="5">
        <v>0.52083333333333304</v>
      </c>
      <c r="B7" s="31">
        <v>4</v>
      </c>
      <c r="C7" s="40" t="str">
        <f t="shared" si="11"/>
        <v>MonMAPD</v>
      </c>
      <c r="D7" s="40" t="str">
        <f t="shared" si="0"/>
        <v>TueMAPD</v>
      </c>
      <c r="E7" s="40" t="str">
        <f t="shared" si="0"/>
        <v>WedMAPD</v>
      </c>
      <c r="F7" s="40" t="str">
        <f t="shared" si="0"/>
        <v>ThuMAPD</v>
      </c>
      <c r="G7" s="40" t="str">
        <f t="shared" si="0"/>
        <v>FriMAPD</v>
      </c>
      <c r="H7" s="14" t="str">
        <f t="shared" si="4"/>
        <v>MA34</v>
      </c>
      <c r="J7" s="5">
        <v>0.39583333333333298</v>
      </c>
      <c r="K7" s="31">
        <v>4</v>
      </c>
      <c r="L7" s="38" t="str">
        <f t="shared" si="5"/>
        <v>MonPMHS</v>
      </c>
      <c r="M7" s="38" t="str">
        <f t="shared" si="1"/>
        <v>TuePMHS</v>
      </c>
      <c r="N7" s="38" t="str">
        <f t="shared" si="1"/>
        <v>WedPMHS</v>
      </c>
      <c r="O7" s="38" t="str">
        <f t="shared" si="1"/>
        <v>ThuPMHS</v>
      </c>
      <c r="P7" s="38" t="str">
        <f t="shared" si="1"/>
        <v>FriPMHS</v>
      </c>
      <c r="Q7" s="14" t="str">
        <f t="shared" si="6"/>
        <v>PM34</v>
      </c>
      <c r="S7" s="5">
        <v>0.39583333333333298</v>
      </c>
      <c r="T7" s="31">
        <v>4</v>
      </c>
      <c r="U7" s="38" t="str">
        <f t="shared" si="7"/>
        <v>MonMedPro</v>
      </c>
      <c r="V7" s="38" t="str">
        <f t="shared" si="2"/>
        <v>TueMedPro</v>
      </c>
      <c r="W7" s="38" t="str">
        <f t="shared" si="2"/>
        <v>WedMedPro</v>
      </c>
      <c r="X7" s="38" t="str">
        <f t="shared" si="2"/>
        <v>ThuMedPro</v>
      </c>
      <c r="Y7" s="38" t="str">
        <f t="shared" si="2"/>
        <v>FriMedPro</v>
      </c>
      <c r="Z7" s="14" t="str">
        <f t="shared" si="8"/>
        <v>Me34</v>
      </c>
      <c r="AB7" s="5">
        <v>0.35416666666666702</v>
      </c>
      <c r="AC7" s="31">
        <v>4</v>
      </c>
      <c r="AD7" s="38" t="str">
        <f t="shared" si="9"/>
        <v>MonPWR</v>
      </c>
      <c r="AE7" s="38" t="str">
        <f t="shared" si="3"/>
        <v>TuePWR</v>
      </c>
      <c r="AF7" s="38" t="str">
        <f t="shared" si="3"/>
        <v>WedPWR</v>
      </c>
      <c r="AG7" s="38" t="str">
        <f t="shared" si="3"/>
        <v>ThuPWR</v>
      </c>
      <c r="AH7" s="38" t="str">
        <f t="shared" si="3"/>
        <v>FriPWR</v>
      </c>
      <c r="AI7" s="14" t="str">
        <f t="shared" si="10"/>
        <v>PW68</v>
      </c>
    </row>
    <row r="8" spans="1:35" ht="15" x14ac:dyDescent="0.2">
      <c r="A8" s="5">
        <v>0.54166666666666696</v>
      </c>
      <c r="B8" s="31">
        <v>5</v>
      </c>
      <c r="C8" s="40" t="str">
        <f t="shared" si="11"/>
        <v>MonMAPD</v>
      </c>
      <c r="D8" s="40" t="str">
        <f t="shared" si="0"/>
        <v>TueMAPD</v>
      </c>
      <c r="E8" s="40" t="str">
        <f t="shared" si="0"/>
        <v>WedMAPD</v>
      </c>
      <c r="F8" s="40" t="str">
        <f t="shared" si="0"/>
        <v>ThuMAPD</v>
      </c>
      <c r="G8" s="40" t="str">
        <f t="shared" si="0"/>
        <v>FriMAPD</v>
      </c>
      <c r="H8" s="14" t="str">
        <f t="shared" si="4"/>
        <v>MA68</v>
      </c>
      <c r="J8" s="5">
        <v>0.41666666666666702</v>
      </c>
      <c r="K8" s="31">
        <v>5</v>
      </c>
      <c r="L8" s="38" t="str">
        <f t="shared" si="5"/>
        <v>MonPMHS</v>
      </c>
      <c r="M8" s="38" t="str">
        <f t="shared" si="1"/>
        <v>TuePMHS</v>
      </c>
      <c r="N8" s="38" t="str">
        <f t="shared" si="1"/>
        <v>WedPMHS</v>
      </c>
      <c r="O8" s="38" t="str">
        <f t="shared" si="1"/>
        <v>ThuPMHS</v>
      </c>
      <c r="P8" s="38" t="str">
        <f t="shared" si="1"/>
        <v>FriPMHS</v>
      </c>
      <c r="Q8" s="14" t="str">
        <f t="shared" si="6"/>
        <v>PM68</v>
      </c>
      <c r="S8" s="5">
        <v>0.41666666666666702</v>
      </c>
      <c r="T8" s="31">
        <v>5</v>
      </c>
      <c r="U8" s="38" t="str">
        <f t="shared" si="7"/>
        <v>MonMedPro</v>
      </c>
      <c r="V8" s="38" t="str">
        <f t="shared" si="2"/>
        <v>TueMedPro</v>
      </c>
      <c r="W8" s="38" t="str">
        <f t="shared" si="2"/>
        <v>WedMedPro</v>
      </c>
      <c r="X8" s="38" t="str">
        <f t="shared" si="2"/>
        <v>ThuMedPro</v>
      </c>
      <c r="Y8" s="38" t="str">
        <f t="shared" si="2"/>
        <v>FriMedPro</v>
      </c>
      <c r="Z8" s="14" t="str">
        <f t="shared" si="8"/>
        <v>Me68</v>
      </c>
      <c r="AB8" s="5">
        <v>0.375</v>
      </c>
      <c r="AC8" s="31">
        <v>5</v>
      </c>
      <c r="AD8" s="38" t="str">
        <f t="shared" si="9"/>
        <v>MonPWR</v>
      </c>
      <c r="AE8" s="38" t="str">
        <f t="shared" si="3"/>
        <v>TuePWR</v>
      </c>
      <c r="AF8" s="38" t="str">
        <f t="shared" si="3"/>
        <v>WedPWR</v>
      </c>
      <c r="AG8" s="38" t="str">
        <f t="shared" si="3"/>
        <v>ThuPWR</v>
      </c>
      <c r="AH8" s="38" t="str">
        <f t="shared" si="3"/>
        <v>FriPWR</v>
      </c>
      <c r="AI8" s="14" t="str">
        <f t="shared" si="10"/>
        <v>PW76</v>
      </c>
    </row>
    <row r="9" spans="1:35" ht="15" x14ac:dyDescent="0.2">
      <c r="A9" s="5">
        <v>0.5625</v>
      </c>
      <c r="B9" s="31">
        <v>6</v>
      </c>
      <c r="C9" s="40" t="str">
        <f t="shared" si="11"/>
        <v>MonMAPD</v>
      </c>
      <c r="D9" s="40" t="str">
        <f t="shared" si="0"/>
        <v>TueMAPD</v>
      </c>
      <c r="E9" s="40" t="str">
        <f t="shared" si="0"/>
        <v>WedMAPD</v>
      </c>
      <c r="F9" s="40" t="str">
        <f t="shared" si="0"/>
        <v>ThuMAPD</v>
      </c>
      <c r="G9" s="40" t="str">
        <f t="shared" si="0"/>
        <v>FriMAPD</v>
      </c>
      <c r="H9" s="14" t="str">
        <f t="shared" si="4"/>
        <v>MA26</v>
      </c>
      <c r="J9" s="5">
        <v>0.4375</v>
      </c>
      <c r="K9" s="31">
        <v>6</v>
      </c>
      <c r="L9" s="38" t="str">
        <f t="shared" si="5"/>
        <v>MonPMHS</v>
      </c>
      <c r="M9" s="38" t="str">
        <f t="shared" si="1"/>
        <v>TuePMHS</v>
      </c>
      <c r="N9" s="38" t="str">
        <f t="shared" si="1"/>
        <v>WedPMHS</v>
      </c>
      <c r="O9" s="38" t="str">
        <f t="shared" si="1"/>
        <v>ThuPMHS</v>
      </c>
      <c r="P9" s="38" t="str">
        <f t="shared" si="1"/>
        <v>FriPMHS</v>
      </c>
      <c r="Q9" s="14" t="str">
        <f t="shared" si="6"/>
        <v>PM76</v>
      </c>
      <c r="S9" s="5">
        <v>0.4375</v>
      </c>
      <c r="T9" s="31">
        <v>6</v>
      </c>
      <c r="U9" s="38" t="str">
        <f t="shared" si="7"/>
        <v>MonMedPro</v>
      </c>
      <c r="V9" s="38" t="str">
        <f t="shared" si="2"/>
        <v>TueMedPro</v>
      </c>
      <c r="W9" s="38" t="str">
        <f t="shared" si="2"/>
        <v>WedMedPro</v>
      </c>
      <c r="X9" s="38" t="str">
        <f t="shared" si="2"/>
        <v>ThuMedPro</v>
      </c>
      <c r="Y9" s="38" t="str">
        <f t="shared" si="2"/>
        <v>FriMedPro</v>
      </c>
      <c r="Z9" s="14" t="str">
        <f t="shared" si="8"/>
        <v>Me76</v>
      </c>
      <c r="AB9" s="5">
        <v>0.39583333333333398</v>
      </c>
      <c r="AC9" s="31">
        <v>6</v>
      </c>
      <c r="AD9" s="38" t="str">
        <f t="shared" si="9"/>
        <v>MonPWR</v>
      </c>
      <c r="AE9" s="38" t="str">
        <f t="shared" si="3"/>
        <v>TuePWR</v>
      </c>
      <c r="AF9" s="38" t="str">
        <f t="shared" si="3"/>
        <v>WedPWR</v>
      </c>
      <c r="AG9" s="38" t="str">
        <f t="shared" si="3"/>
        <v>ThuPWR</v>
      </c>
      <c r="AH9" s="38" t="str">
        <f t="shared" si="3"/>
        <v>FriPWR</v>
      </c>
      <c r="AI9" s="14" t="str">
        <f t="shared" si="10"/>
        <v>PW35</v>
      </c>
    </row>
    <row r="10" spans="1:35" ht="15" x14ac:dyDescent="0.2">
      <c r="A10" s="5">
        <v>0.58333333333333304</v>
      </c>
      <c r="B10" s="31">
        <v>7</v>
      </c>
      <c r="C10" s="40" t="str">
        <f t="shared" si="11"/>
        <v>MonMAPD</v>
      </c>
      <c r="D10" s="40" t="str">
        <f t="shared" si="0"/>
        <v>TueMAPD</v>
      </c>
      <c r="E10" s="40" t="str">
        <f t="shared" si="0"/>
        <v>WedMAPD</v>
      </c>
      <c r="F10" s="40" t="str">
        <f t="shared" si="0"/>
        <v>ThuMAPD</v>
      </c>
      <c r="G10" s="40" t="str">
        <f t="shared" si="0"/>
        <v>FriMAPD</v>
      </c>
      <c r="H10" s="14" t="str">
        <f t="shared" si="4"/>
        <v>MA34</v>
      </c>
      <c r="J10" s="5">
        <v>0.45833333333333298</v>
      </c>
      <c r="K10" s="31">
        <v>7</v>
      </c>
      <c r="L10" s="38" t="str">
        <f t="shared" si="5"/>
        <v>MonPMHS</v>
      </c>
      <c r="M10" s="38" t="str">
        <f t="shared" si="1"/>
        <v>TuePMHS</v>
      </c>
      <c r="N10" s="38" t="str">
        <f t="shared" si="1"/>
        <v>WedPMHS</v>
      </c>
      <c r="O10" s="38" t="str">
        <f t="shared" si="1"/>
        <v>ThuPMHS</v>
      </c>
      <c r="P10" s="38" t="str">
        <f t="shared" si="1"/>
        <v>FriPMHS</v>
      </c>
      <c r="Q10" s="14" t="str">
        <f t="shared" si="6"/>
        <v>PM34</v>
      </c>
      <c r="S10" s="5">
        <v>0.45833333333333298</v>
      </c>
      <c r="T10" s="31">
        <v>7</v>
      </c>
      <c r="U10" s="38" t="str">
        <f t="shared" si="7"/>
        <v>MonMedPro</v>
      </c>
      <c r="V10" s="38" t="str">
        <f t="shared" si="2"/>
        <v>TueMedPro</v>
      </c>
      <c r="W10" s="38" t="str">
        <f t="shared" si="2"/>
        <v>WedMedPro</v>
      </c>
      <c r="X10" s="38" t="str">
        <f t="shared" si="2"/>
        <v>ThuMedPro</v>
      </c>
      <c r="Y10" s="38" t="str">
        <f t="shared" si="2"/>
        <v>FriMedPro</v>
      </c>
      <c r="Z10" s="14" t="str">
        <f t="shared" si="8"/>
        <v>Me34</v>
      </c>
      <c r="AB10" s="5">
        <v>0.41666666666666702</v>
      </c>
      <c r="AC10" s="31">
        <v>7</v>
      </c>
      <c r="AD10" s="38" t="str">
        <f t="shared" si="9"/>
        <v>MonPWR</v>
      </c>
      <c r="AE10" s="38" t="str">
        <f t="shared" si="3"/>
        <v>TuePWR</v>
      </c>
      <c r="AF10" s="38" t="str">
        <f t="shared" si="3"/>
        <v>WedPWR</v>
      </c>
      <c r="AG10" s="38" t="str">
        <f t="shared" si="3"/>
        <v>ThuPWR</v>
      </c>
      <c r="AH10" s="38" t="str">
        <f t="shared" si="3"/>
        <v>FriPWR</v>
      </c>
      <c r="AI10" s="14" t="str">
        <f t="shared" si="10"/>
        <v>PW68</v>
      </c>
    </row>
    <row r="11" spans="1:35" ht="15" x14ac:dyDescent="0.2">
      <c r="A11" s="5">
        <v>0.60416666666666696</v>
      </c>
      <c r="B11" s="31">
        <v>8</v>
      </c>
      <c r="C11" s="40" t="str">
        <f t="shared" si="11"/>
        <v>MonMAPD</v>
      </c>
      <c r="D11" s="40" t="str">
        <f t="shared" si="0"/>
        <v>TueMAPD</v>
      </c>
      <c r="E11" s="40" t="str">
        <f t="shared" si="0"/>
        <v>WedMAPD</v>
      </c>
      <c r="F11" s="40" t="str">
        <f t="shared" si="0"/>
        <v>ThuMAPD</v>
      </c>
      <c r="G11" s="40" t="str">
        <f t="shared" si="0"/>
        <v>FriMAPD</v>
      </c>
      <c r="H11" s="14" t="str">
        <f t="shared" si="4"/>
        <v>MA68</v>
      </c>
      <c r="J11" s="5">
        <v>0.47916666666666702</v>
      </c>
      <c r="K11" s="31">
        <v>8</v>
      </c>
      <c r="L11" s="38" t="str">
        <f t="shared" si="5"/>
        <v>MonPMHS</v>
      </c>
      <c r="M11" s="38" t="str">
        <f t="shared" si="1"/>
        <v>TuePMHS</v>
      </c>
      <c r="N11" s="38" t="str">
        <f t="shared" si="1"/>
        <v>WedPMHS</v>
      </c>
      <c r="O11" s="38" t="str">
        <f t="shared" si="1"/>
        <v>ThuPMHS</v>
      </c>
      <c r="P11" s="38" t="str">
        <f t="shared" si="1"/>
        <v>FriPMHS</v>
      </c>
      <c r="Q11" s="14" t="str">
        <f t="shared" si="6"/>
        <v>PM68</v>
      </c>
      <c r="S11" s="5">
        <v>0.47916666666666702</v>
      </c>
      <c r="T11" s="31">
        <v>8</v>
      </c>
      <c r="U11" s="38" t="str">
        <f t="shared" si="7"/>
        <v>MonMedPro</v>
      </c>
      <c r="V11" s="38" t="str">
        <f t="shared" si="2"/>
        <v>TueMedPro</v>
      </c>
      <c r="W11" s="38" t="str">
        <f t="shared" si="2"/>
        <v>WedMedPro</v>
      </c>
      <c r="X11" s="38" t="str">
        <f t="shared" si="2"/>
        <v>ThuMedPro</v>
      </c>
      <c r="Y11" s="38" t="str">
        <f t="shared" si="2"/>
        <v>FriMedPro</v>
      </c>
      <c r="Z11" s="14" t="str">
        <f t="shared" si="8"/>
        <v>Me68</v>
      </c>
      <c r="AB11" s="5">
        <v>0.4375</v>
      </c>
      <c r="AC11" s="31">
        <v>8</v>
      </c>
      <c r="AD11" s="38" t="str">
        <f t="shared" si="9"/>
        <v>MonPWR</v>
      </c>
      <c r="AE11" s="38" t="str">
        <f t="shared" si="3"/>
        <v>TuePWR</v>
      </c>
      <c r="AF11" s="38" t="str">
        <f t="shared" si="3"/>
        <v>WedPWR</v>
      </c>
      <c r="AG11" s="38" t="str">
        <f t="shared" si="3"/>
        <v>ThuPWR</v>
      </c>
      <c r="AH11" s="38" t="str">
        <f t="shared" si="3"/>
        <v>FriPWR</v>
      </c>
      <c r="AI11" s="14" t="str">
        <f t="shared" si="10"/>
        <v>PW76</v>
      </c>
    </row>
    <row r="12" spans="1:35" ht="15" x14ac:dyDescent="0.2">
      <c r="A12" s="5">
        <v>0.625</v>
      </c>
      <c r="B12" s="31">
        <v>9</v>
      </c>
      <c r="C12" s="40" t="str">
        <f t="shared" si="11"/>
        <v>MonMAPD</v>
      </c>
      <c r="D12" s="40" t="str">
        <f t="shared" si="0"/>
        <v>TueMAPD</v>
      </c>
      <c r="E12" s="40" t="str">
        <f t="shared" si="0"/>
        <v>WedMAPD</v>
      </c>
      <c r="F12" s="40" t="str">
        <f t="shared" si="0"/>
        <v>ThuMAPD</v>
      </c>
      <c r="G12" s="40" t="str">
        <f t="shared" si="0"/>
        <v>FriMAPD</v>
      </c>
      <c r="H12" s="14" t="str">
        <f t="shared" si="4"/>
        <v>MA26</v>
      </c>
      <c r="J12" s="5">
        <v>0.5</v>
      </c>
      <c r="K12" s="31">
        <v>9</v>
      </c>
      <c r="L12" s="38" t="str">
        <f t="shared" si="5"/>
        <v>MonPMHS</v>
      </c>
      <c r="M12" s="38" t="str">
        <f t="shared" si="1"/>
        <v>TuePMHS</v>
      </c>
      <c r="N12" s="38" t="str">
        <f t="shared" si="1"/>
        <v>WedPMHS</v>
      </c>
      <c r="O12" s="38" t="str">
        <f t="shared" si="1"/>
        <v>ThuPMHS</v>
      </c>
      <c r="P12" s="38" t="str">
        <f t="shared" si="1"/>
        <v>FriPMHS</v>
      </c>
      <c r="Q12" s="14" t="str">
        <f t="shared" si="6"/>
        <v>PM1.5</v>
      </c>
      <c r="S12" s="5">
        <v>0.5</v>
      </c>
      <c r="T12" s="31">
        <v>9</v>
      </c>
      <c r="U12" s="38" t="str">
        <f t="shared" si="7"/>
        <v>MonMedPro</v>
      </c>
      <c r="V12" s="38" t="str">
        <f t="shared" si="2"/>
        <v>TueMedPro</v>
      </c>
      <c r="W12" s="38" t="str">
        <f t="shared" si="2"/>
        <v>WedMedPro</v>
      </c>
      <c r="X12" s="38" t="str">
        <f t="shared" si="2"/>
        <v>ThuMedPro</v>
      </c>
      <c r="Y12" s="38" t="str">
        <f t="shared" si="2"/>
        <v>FriMedPro</v>
      </c>
      <c r="Z12" s="14" t="str">
        <f t="shared" si="8"/>
        <v>Me1.5</v>
      </c>
      <c r="AB12" s="5">
        <v>0.45833333333333398</v>
      </c>
      <c r="AC12" s="31">
        <v>9</v>
      </c>
      <c r="AD12" s="38" t="str">
        <f t="shared" si="9"/>
        <v>MonPWR</v>
      </c>
      <c r="AE12" s="38" t="str">
        <f t="shared" si="3"/>
        <v>TuePWR</v>
      </c>
      <c r="AF12" s="38" t="str">
        <f t="shared" si="3"/>
        <v>WedPWR</v>
      </c>
      <c r="AG12" s="38" t="str">
        <f t="shared" si="3"/>
        <v>ThuPWR</v>
      </c>
      <c r="AH12" s="38" t="str">
        <f t="shared" si="3"/>
        <v>FriPWR</v>
      </c>
      <c r="AI12" s="14" t="str">
        <f t="shared" si="10"/>
        <v>PW35</v>
      </c>
    </row>
    <row r="13" spans="1:35" ht="15" x14ac:dyDescent="0.2">
      <c r="A13" s="5">
        <v>0.64583333333333304</v>
      </c>
      <c r="B13" s="31">
        <v>10</v>
      </c>
      <c r="C13" s="40" t="str">
        <f t="shared" si="11"/>
        <v>MonMAPD</v>
      </c>
      <c r="D13" s="40" t="str">
        <f t="shared" si="0"/>
        <v>TueMAPD</v>
      </c>
      <c r="E13" s="40" t="str">
        <f t="shared" si="0"/>
        <v>WedMAPD</v>
      </c>
      <c r="F13" s="40" t="str">
        <f t="shared" si="0"/>
        <v>ThuMAPD</v>
      </c>
      <c r="G13" s="40" t="str">
        <f t="shared" si="0"/>
        <v>FriMAPD</v>
      </c>
      <c r="H13" s="14" t="str">
        <f t="shared" si="4"/>
        <v>MA34</v>
      </c>
      <c r="J13" s="5">
        <v>0.52083333333333304</v>
      </c>
      <c r="K13" s="31">
        <v>10</v>
      </c>
      <c r="L13" s="38" t="str">
        <f t="shared" si="5"/>
        <v>MonPMHS</v>
      </c>
      <c r="M13" s="38" t="str">
        <f t="shared" si="1"/>
        <v>TuePMHS</v>
      </c>
      <c r="N13" s="38" t="str">
        <f t="shared" si="1"/>
        <v>WedPMHS</v>
      </c>
      <c r="O13" s="38" t="str">
        <f t="shared" si="1"/>
        <v>ThuPMHS</v>
      </c>
      <c r="P13" s="38" t="str">
        <f t="shared" si="1"/>
        <v>FriPMHS</v>
      </c>
      <c r="Q13" s="14" t="str">
        <f t="shared" si="6"/>
        <v>PM34</v>
      </c>
      <c r="S13" s="5">
        <v>0.52083333333333304</v>
      </c>
      <c r="T13" s="31">
        <v>10</v>
      </c>
      <c r="U13" s="38" t="str">
        <f t="shared" si="7"/>
        <v>MonMedPro</v>
      </c>
      <c r="V13" s="38" t="str">
        <f t="shared" si="2"/>
        <v>TueMedPro</v>
      </c>
      <c r="W13" s="38" t="str">
        <f t="shared" si="2"/>
        <v>WedMedPro</v>
      </c>
      <c r="X13" s="38" t="str">
        <f t="shared" si="2"/>
        <v>ThuMedPro</v>
      </c>
      <c r="Y13" s="38" t="str">
        <f t="shared" si="2"/>
        <v>FriMedPro</v>
      </c>
      <c r="Z13" s="14" t="str">
        <f t="shared" si="8"/>
        <v>Me34</v>
      </c>
      <c r="AB13" s="5">
        <v>0.47916666666666702</v>
      </c>
      <c r="AC13" s="31">
        <v>10</v>
      </c>
      <c r="AD13" s="38" t="str">
        <f t="shared" si="9"/>
        <v>MonPWR</v>
      </c>
      <c r="AE13" s="38" t="str">
        <f t="shared" si="3"/>
        <v>TuePWR</v>
      </c>
      <c r="AF13" s="38" t="str">
        <f t="shared" si="3"/>
        <v>WedPWR</v>
      </c>
      <c r="AG13" s="38" t="str">
        <f t="shared" si="3"/>
        <v>ThuPWR</v>
      </c>
      <c r="AH13" s="38" t="str">
        <f t="shared" si="3"/>
        <v>FriPWR</v>
      </c>
      <c r="AI13" s="14" t="str">
        <f t="shared" si="10"/>
        <v>PW68</v>
      </c>
    </row>
    <row r="14" spans="1:35" ht="15" x14ac:dyDescent="0.2">
      <c r="A14" s="5">
        <v>0.66666666666666696</v>
      </c>
      <c r="B14" s="31">
        <v>11</v>
      </c>
      <c r="C14" s="40" t="str">
        <f t="shared" si="11"/>
        <v>MonMAPD</v>
      </c>
      <c r="D14" s="40" t="str">
        <f t="shared" si="0"/>
        <v>TueMAPD</v>
      </c>
      <c r="E14" s="40" t="str">
        <f t="shared" si="0"/>
        <v>WedMAPD</v>
      </c>
      <c r="F14" s="40" t="str">
        <f t="shared" si="0"/>
        <v>ThuMAPD</v>
      </c>
      <c r="G14" s="40" t="str">
        <f t="shared" si="0"/>
        <v>FriMAPD</v>
      </c>
      <c r="H14" s="14" t="str">
        <f t="shared" si="4"/>
        <v>MA68</v>
      </c>
      <c r="J14" s="5">
        <v>0.54166666666666696</v>
      </c>
      <c r="K14" s="31">
        <v>11</v>
      </c>
      <c r="L14" s="38" t="str">
        <f t="shared" si="5"/>
        <v>MonPMHS</v>
      </c>
      <c r="M14" s="38" t="str">
        <f t="shared" si="1"/>
        <v>TuePMHS</v>
      </c>
      <c r="N14" s="38" t="str">
        <f t="shared" si="1"/>
        <v>WedPMHS</v>
      </c>
      <c r="O14" s="38" t="str">
        <f t="shared" si="1"/>
        <v>ThuPMHS</v>
      </c>
      <c r="P14" s="38" t="str">
        <f t="shared" si="1"/>
        <v>FriPMHS</v>
      </c>
      <c r="Q14" s="14" t="str">
        <f t="shared" si="6"/>
        <v>PM68</v>
      </c>
      <c r="S14" s="5">
        <v>0.54166666666666696</v>
      </c>
      <c r="T14" s="31">
        <v>11</v>
      </c>
      <c r="U14" s="38" t="str">
        <f t="shared" si="7"/>
        <v>MonMedPro</v>
      </c>
      <c r="V14" s="38" t="str">
        <f t="shared" si="2"/>
        <v>TueMedPro</v>
      </c>
      <c r="W14" s="38" t="str">
        <f t="shared" si="2"/>
        <v>WedMedPro</v>
      </c>
      <c r="X14" s="38" t="str">
        <f t="shared" si="2"/>
        <v>ThuMedPro</v>
      </c>
      <c r="Y14" s="38" t="str">
        <f t="shared" si="2"/>
        <v>FriMedPro</v>
      </c>
      <c r="Z14" s="14" t="str">
        <f t="shared" si="8"/>
        <v>Me68</v>
      </c>
      <c r="AB14" s="5">
        <v>0.5</v>
      </c>
      <c r="AC14" s="31">
        <v>11</v>
      </c>
      <c r="AD14" s="38" t="str">
        <f t="shared" si="9"/>
        <v>MonPWR</v>
      </c>
      <c r="AE14" s="38" t="str">
        <f t="shared" si="3"/>
        <v>TuePWR</v>
      </c>
      <c r="AF14" s="38" t="str">
        <f t="shared" si="3"/>
        <v>WedPWR</v>
      </c>
      <c r="AG14" s="38" t="str">
        <f t="shared" si="3"/>
        <v>ThuPWR</v>
      </c>
      <c r="AH14" s="38" t="str">
        <f t="shared" si="3"/>
        <v>FriPWR</v>
      </c>
      <c r="AI14" s="14" t="str">
        <f t="shared" si="10"/>
        <v>PW1.5</v>
      </c>
    </row>
    <row r="15" spans="1:35" ht="15" x14ac:dyDescent="0.2">
      <c r="A15" s="5">
        <v>0.6875</v>
      </c>
      <c r="B15" s="31">
        <v>12</v>
      </c>
      <c r="C15" s="40" t="str">
        <f t="shared" si="11"/>
        <v>MonMAPD</v>
      </c>
      <c r="D15" s="40" t="str">
        <f t="shared" si="0"/>
        <v>TueMAPD</v>
      </c>
      <c r="E15" s="40" t="str">
        <f t="shared" si="0"/>
        <v>WedMAPD</v>
      </c>
      <c r="F15" s="40" t="str">
        <f t="shared" si="0"/>
        <v>ThuMAPD</v>
      </c>
      <c r="G15" s="40" t="str">
        <f t="shared" si="0"/>
        <v>FriMAPD</v>
      </c>
      <c r="H15" s="14" t="str">
        <f t="shared" si="4"/>
        <v>MA76</v>
      </c>
      <c r="J15" s="5">
        <v>0.5625</v>
      </c>
      <c r="K15" s="31">
        <v>12</v>
      </c>
      <c r="L15" s="38" t="str">
        <f t="shared" si="5"/>
        <v>MonPMHS</v>
      </c>
      <c r="M15" s="38" t="str">
        <f t="shared" si="1"/>
        <v>TuePMHS</v>
      </c>
      <c r="N15" s="38" t="str">
        <f t="shared" si="1"/>
        <v>WedPMHS</v>
      </c>
      <c r="O15" s="38" t="str">
        <f t="shared" si="1"/>
        <v>ThuPMHS</v>
      </c>
      <c r="P15" s="38" t="str">
        <f t="shared" si="1"/>
        <v>FriPMHS</v>
      </c>
      <c r="Q15" s="14" t="str">
        <f t="shared" si="6"/>
        <v>PM26</v>
      </c>
      <c r="S15" s="5">
        <v>0.5625</v>
      </c>
      <c r="T15" s="31">
        <v>12</v>
      </c>
      <c r="U15" s="38" t="str">
        <f t="shared" si="7"/>
        <v>MonMedPro</v>
      </c>
      <c r="V15" s="38" t="str">
        <f t="shared" si="2"/>
        <v>TueMedPro</v>
      </c>
      <c r="W15" s="38" t="str">
        <f t="shared" si="2"/>
        <v>WedMedPro</v>
      </c>
      <c r="X15" s="38" t="str">
        <f t="shared" si="2"/>
        <v>ThuMedPro</v>
      </c>
      <c r="Y15" s="38" t="str">
        <f t="shared" si="2"/>
        <v>FriMedPro</v>
      </c>
      <c r="Z15" s="14" t="str">
        <f t="shared" si="8"/>
        <v>Me26</v>
      </c>
      <c r="AB15" s="5">
        <v>0.52083333333333304</v>
      </c>
      <c r="AC15" s="31">
        <v>12</v>
      </c>
      <c r="AD15" s="38" t="str">
        <f t="shared" si="9"/>
        <v>MonPWR</v>
      </c>
      <c r="AE15" s="38" t="str">
        <f t="shared" si="3"/>
        <v>TuePWR</v>
      </c>
      <c r="AF15" s="38" t="str">
        <f t="shared" si="3"/>
        <v>WedPWR</v>
      </c>
      <c r="AG15" s="38" t="str">
        <f t="shared" si="3"/>
        <v>ThuPWR</v>
      </c>
      <c r="AH15" s="38" t="str">
        <f t="shared" si="3"/>
        <v>FriPWR</v>
      </c>
      <c r="AI15" s="14" t="str">
        <f t="shared" si="10"/>
        <v>PW34</v>
      </c>
    </row>
    <row r="16" spans="1:35" ht="15" x14ac:dyDescent="0.2">
      <c r="A16" s="5">
        <v>0.70833333333333304</v>
      </c>
      <c r="B16" s="31">
        <v>13</v>
      </c>
      <c r="C16" s="40" t="str">
        <f t="shared" si="11"/>
        <v>MonMAPD</v>
      </c>
      <c r="D16" s="40" t="str">
        <f t="shared" si="0"/>
        <v>TueMAPD</v>
      </c>
      <c r="E16" s="40" t="str">
        <f t="shared" si="0"/>
        <v>WedMAPD</v>
      </c>
      <c r="F16" s="40" t="str">
        <f t="shared" si="0"/>
        <v>ThuMAPD</v>
      </c>
      <c r="G16" s="40" t="str">
        <f t="shared" si="0"/>
        <v>FriMAPD</v>
      </c>
      <c r="H16" s="14" t="str">
        <f t="shared" si="4"/>
        <v>MA34</v>
      </c>
      <c r="J16" s="5">
        <v>0.58333333333333304</v>
      </c>
      <c r="K16" s="31">
        <v>13</v>
      </c>
      <c r="L16" s="38" t="str">
        <f t="shared" si="5"/>
        <v>MonPMHS</v>
      </c>
      <c r="M16" s="38" t="str">
        <f t="shared" si="1"/>
        <v>TuePMHS</v>
      </c>
      <c r="N16" s="38" t="str">
        <f t="shared" si="1"/>
        <v>WedPMHS</v>
      </c>
      <c r="O16" s="38" t="str">
        <f t="shared" si="1"/>
        <v>ThuPMHS</v>
      </c>
      <c r="P16" s="38" t="str">
        <f t="shared" si="1"/>
        <v>FriPMHS</v>
      </c>
      <c r="Q16" s="14" t="str">
        <f t="shared" si="6"/>
        <v>PM34</v>
      </c>
      <c r="S16" s="5">
        <v>0.58333333333333304</v>
      </c>
      <c r="T16" s="31">
        <v>13</v>
      </c>
      <c r="U16" s="38" t="str">
        <f t="shared" si="7"/>
        <v>MonMedPro</v>
      </c>
      <c r="V16" s="38" t="str">
        <f t="shared" si="2"/>
        <v>TueMedPro</v>
      </c>
      <c r="W16" s="38" t="str">
        <f t="shared" si="2"/>
        <v>WedMedPro</v>
      </c>
      <c r="X16" s="38" t="str">
        <f t="shared" si="2"/>
        <v>ThuMedPro</v>
      </c>
      <c r="Y16" s="38" t="str">
        <f t="shared" si="2"/>
        <v>FriMedPro</v>
      </c>
      <c r="Z16" s="14" t="str">
        <f t="shared" si="8"/>
        <v>Me34</v>
      </c>
      <c r="AB16" s="5">
        <v>0.54166666666666696</v>
      </c>
      <c r="AC16" s="31">
        <v>13</v>
      </c>
      <c r="AD16" s="38" t="str">
        <f t="shared" si="9"/>
        <v>MonPWR</v>
      </c>
      <c r="AE16" s="38" t="str">
        <f t="shared" si="3"/>
        <v>TuePWR</v>
      </c>
      <c r="AF16" s="38" t="str">
        <f t="shared" si="3"/>
        <v>WedPWR</v>
      </c>
      <c r="AG16" s="38" t="str">
        <f t="shared" si="3"/>
        <v>ThuPWR</v>
      </c>
      <c r="AH16" s="38" t="str">
        <f t="shared" si="3"/>
        <v>FriPWR</v>
      </c>
      <c r="AI16" s="14" t="str">
        <f t="shared" si="10"/>
        <v>PW68</v>
      </c>
    </row>
    <row r="17" spans="1:35" ht="15" x14ac:dyDescent="0.2">
      <c r="A17" s="5">
        <v>0.72916666666666696</v>
      </c>
      <c r="B17" s="31">
        <v>14</v>
      </c>
      <c r="C17" s="40" t="str">
        <f t="shared" si="11"/>
        <v>MonMAPD</v>
      </c>
      <c r="D17" s="40" t="str">
        <f t="shared" si="0"/>
        <v>TueMAPD</v>
      </c>
      <c r="E17" s="40" t="str">
        <f t="shared" si="0"/>
        <v>WedMAPD</v>
      </c>
      <c r="F17" s="40" t="str">
        <f t="shared" si="0"/>
        <v>ThuMAPD</v>
      </c>
      <c r="G17" s="40" t="str">
        <f t="shared" si="0"/>
        <v>FriMAPD</v>
      </c>
      <c r="H17" s="14" t="str">
        <f t="shared" si="4"/>
        <v>MA68</v>
      </c>
      <c r="J17" s="5">
        <v>0.60416666666666696</v>
      </c>
      <c r="K17" s="31">
        <v>14</v>
      </c>
      <c r="L17" s="38" t="str">
        <f t="shared" si="5"/>
        <v>MonPMHS</v>
      </c>
      <c r="M17" s="38" t="str">
        <f t="shared" si="1"/>
        <v>TuePMHS</v>
      </c>
      <c r="N17" s="38" t="str">
        <f t="shared" si="1"/>
        <v>WedPMHS</v>
      </c>
      <c r="O17" s="38" t="str">
        <f t="shared" si="1"/>
        <v>ThuPMHS</v>
      </c>
      <c r="P17" s="38" t="str">
        <f t="shared" si="1"/>
        <v>FriPMHS</v>
      </c>
      <c r="Q17" s="14" t="str">
        <f t="shared" si="6"/>
        <v>PM68</v>
      </c>
      <c r="S17" s="5">
        <v>0.60416666666666696</v>
      </c>
      <c r="T17" s="31">
        <v>14</v>
      </c>
      <c r="U17" s="38" t="str">
        <f t="shared" si="7"/>
        <v>MonMedPro</v>
      </c>
      <c r="V17" s="38" t="str">
        <f t="shared" si="2"/>
        <v>TueMedPro</v>
      </c>
      <c r="W17" s="38" t="str">
        <f t="shared" si="2"/>
        <v>WedMedPro</v>
      </c>
      <c r="X17" s="38" t="str">
        <f t="shared" si="2"/>
        <v>ThuMedPro</v>
      </c>
      <c r="Y17" s="38" t="str">
        <f t="shared" si="2"/>
        <v>FriMedPro</v>
      </c>
      <c r="Z17" s="14" t="str">
        <f t="shared" si="8"/>
        <v>Me68</v>
      </c>
      <c r="AB17" s="5">
        <v>0.5625</v>
      </c>
      <c r="AC17" s="31">
        <v>14</v>
      </c>
      <c r="AD17" s="38" t="str">
        <f t="shared" si="9"/>
        <v>MonPWR</v>
      </c>
      <c r="AE17" s="38" t="str">
        <f t="shared" si="3"/>
        <v>TuePWR</v>
      </c>
      <c r="AF17" s="38" t="str">
        <f t="shared" si="3"/>
        <v>WedPWR</v>
      </c>
      <c r="AG17" s="38" t="str">
        <f t="shared" si="3"/>
        <v>ThuPWR</v>
      </c>
      <c r="AH17" s="38" t="str">
        <f t="shared" si="3"/>
        <v>FriPWR</v>
      </c>
      <c r="AI17" s="14" t="str">
        <f t="shared" si="10"/>
        <v>PW26</v>
      </c>
    </row>
    <row r="18" spans="1:35" ht="15" x14ac:dyDescent="0.2">
      <c r="A18" s="5">
        <v>0.75</v>
      </c>
      <c r="B18" s="31">
        <v>15</v>
      </c>
      <c r="C18" s="40" t="str">
        <f t="shared" si="11"/>
        <v>MonMAPD</v>
      </c>
      <c r="D18" s="40" t="str">
        <f t="shared" si="0"/>
        <v>TueMAPD</v>
      </c>
      <c r="E18" s="40" t="str">
        <f t="shared" si="0"/>
        <v>WedMAPD</v>
      </c>
      <c r="F18" s="40" t="str">
        <f t="shared" si="0"/>
        <v>ThuMAPD</v>
      </c>
      <c r="G18" s="40" t="str">
        <f t="shared" si="0"/>
        <v>FriMAPD</v>
      </c>
      <c r="H18" s="14" t="str">
        <f t="shared" si="4"/>
        <v>MA76</v>
      </c>
      <c r="J18" s="5">
        <v>0.625</v>
      </c>
      <c r="K18" s="31">
        <v>15</v>
      </c>
      <c r="L18" s="38" t="str">
        <f t="shared" si="5"/>
        <v>MonPMHS</v>
      </c>
      <c r="M18" s="38" t="str">
        <f t="shared" si="1"/>
        <v>TuePMHS</v>
      </c>
      <c r="N18" s="38" t="str">
        <f t="shared" si="1"/>
        <v>WedPMHS</v>
      </c>
      <c r="O18" s="38" t="str">
        <f t="shared" si="1"/>
        <v>ThuPMHS</v>
      </c>
      <c r="P18" s="38" t="str">
        <f t="shared" si="1"/>
        <v>FriPMHS</v>
      </c>
      <c r="Q18" s="14" t="str">
        <f t="shared" si="6"/>
        <v>PM26</v>
      </c>
      <c r="S18" s="5">
        <v>0.625</v>
      </c>
      <c r="T18" s="31">
        <v>15</v>
      </c>
      <c r="U18" s="38" t="str">
        <f t="shared" si="7"/>
        <v>MonMedPro</v>
      </c>
      <c r="V18" s="38" t="str">
        <f t="shared" si="2"/>
        <v>TueMedPro</v>
      </c>
      <c r="W18" s="38" t="str">
        <f t="shared" si="2"/>
        <v>WedMedPro</v>
      </c>
      <c r="X18" s="38" t="str">
        <f t="shared" si="2"/>
        <v>ThuMedPro</v>
      </c>
      <c r="Y18" s="38" t="str">
        <f t="shared" si="2"/>
        <v>FriMedPro</v>
      </c>
      <c r="Z18" s="14" t="str">
        <f t="shared" si="8"/>
        <v>Me26</v>
      </c>
      <c r="AB18" s="5">
        <v>0.58333333333333304</v>
      </c>
      <c r="AC18" s="31">
        <v>15</v>
      </c>
      <c r="AD18" s="38" t="str">
        <f t="shared" si="9"/>
        <v>MonPWR</v>
      </c>
      <c r="AE18" s="38" t="str">
        <f t="shared" si="3"/>
        <v>TuePWR</v>
      </c>
      <c r="AF18" s="38" t="str">
        <f t="shared" si="3"/>
        <v>WedPWR</v>
      </c>
      <c r="AG18" s="38" t="str">
        <f t="shared" si="3"/>
        <v>ThuPWR</v>
      </c>
      <c r="AH18" s="38" t="str">
        <f t="shared" si="3"/>
        <v>FriPWR</v>
      </c>
      <c r="AI18" s="14" t="str">
        <f t="shared" si="10"/>
        <v>PW34</v>
      </c>
    </row>
    <row r="19" spans="1:35" ht="15" x14ac:dyDescent="0.2">
      <c r="A19" s="5">
        <v>0.77083333333333404</v>
      </c>
      <c r="B19" s="31">
        <v>16</v>
      </c>
      <c r="C19" s="40" t="str">
        <f t="shared" si="11"/>
        <v>MonMAPD</v>
      </c>
      <c r="D19" s="40" t="str">
        <f t="shared" si="0"/>
        <v>TueMAPD</v>
      </c>
      <c r="E19" s="40" t="str">
        <f t="shared" si="0"/>
        <v>WedMAPD</v>
      </c>
      <c r="F19" s="40" t="str">
        <f t="shared" si="0"/>
        <v>ThuMAPD</v>
      </c>
      <c r="G19" s="40" t="str">
        <f t="shared" si="0"/>
        <v>FriMAPD</v>
      </c>
      <c r="H19" s="14" t="str">
        <f t="shared" si="4"/>
        <v>MA35</v>
      </c>
      <c r="J19" s="5">
        <v>0.64583333333333404</v>
      </c>
      <c r="K19" s="31">
        <v>16</v>
      </c>
      <c r="L19" s="38" t="str">
        <f t="shared" si="5"/>
        <v>MonPMHS</v>
      </c>
      <c r="M19" s="38" t="str">
        <f t="shared" si="1"/>
        <v>TuePMHS</v>
      </c>
      <c r="N19" s="38" t="str">
        <f t="shared" si="1"/>
        <v>WedPMHS</v>
      </c>
      <c r="O19" s="38" t="str">
        <f t="shared" si="1"/>
        <v>ThuPMHS</v>
      </c>
      <c r="P19" s="38" t="str">
        <f t="shared" si="1"/>
        <v>FriPMHS</v>
      </c>
      <c r="Q19" s="14" t="str">
        <f t="shared" si="6"/>
        <v>PM35</v>
      </c>
      <c r="S19" s="5">
        <v>0.64583333333333404</v>
      </c>
      <c r="T19" s="31">
        <v>16</v>
      </c>
      <c r="U19" s="38" t="str">
        <f t="shared" si="7"/>
        <v>MonMedPro</v>
      </c>
      <c r="V19" s="38" t="str">
        <f t="shared" si="2"/>
        <v>TueMedPro</v>
      </c>
      <c r="W19" s="38" t="str">
        <f t="shared" si="2"/>
        <v>WedMedPro</v>
      </c>
      <c r="X19" s="38" t="str">
        <f t="shared" si="2"/>
        <v>ThuMedPro</v>
      </c>
      <c r="Y19" s="38" t="str">
        <f t="shared" si="2"/>
        <v>FriMedPro</v>
      </c>
      <c r="Z19" s="14" t="str">
        <f t="shared" si="8"/>
        <v>Me35</v>
      </c>
      <c r="AB19" s="5">
        <v>0.60416666666666696</v>
      </c>
      <c r="AC19" s="31">
        <v>16</v>
      </c>
      <c r="AD19" s="38" t="str">
        <f t="shared" si="9"/>
        <v>MonPWR</v>
      </c>
      <c r="AE19" s="38" t="str">
        <f t="shared" si="3"/>
        <v>TuePWR</v>
      </c>
      <c r="AF19" s="38" t="str">
        <f t="shared" si="3"/>
        <v>WedPWR</v>
      </c>
      <c r="AG19" s="38" t="str">
        <f t="shared" si="3"/>
        <v>ThuPWR</v>
      </c>
      <c r="AH19" s="38" t="str">
        <f t="shared" si="3"/>
        <v>FriPWR</v>
      </c>
      <c r="AI19" s="14" t="str">
        <f t="shared" si="10"/>
        <v>PW68</v>
      </c>
    </row>
    <row r="20" spans="1:35" ht="15" x14ac:dyDescent="0.2">
      <c r="A20" s="5">
        <v>0.79166666666666696</v>
      </c>
      <c r="B20" s="31">
        <v>17</v>
      </c>
      <c r="C20" s="40" t="str">
        <f t="shared" si="11"/>
        <v>MonMAPD</v>
      </c>
      <c r="D20" s="40" t="str">
        <f t="shared" si="11"/>
        <v>TueMAPD</v>
      </c>
      <c r="E20" s="40" t="str">
        <f t="shared" si="11"/>
        <v>WedMAPD</v>
      </c>
      <c r="F20" s="40" t="str">
        <f t="shared" si="11"/>
        <v>ThuMAPD</v>
      </c>
      <c r="G20" s="40" t="str">
        <f t="shared" si="11"/>
        <v>FriMAPD</v>
      </c>
      <c r="H20" s="14" t="str">
        <f t="shared" si="4"/>
        <v>MA68</v>
      </c>
      <c r="J20" s="5">
        <v>0.66666666666666696</v>
      </c>
      <c r="K20" s="31">
        <v>17</v>
      </c>
      <c r="L20" s="38" t="str">
        <f t="shared" si="5"/>
        <v>MonPMHS</v>
      </c>
      <c r="M20" s="38" t="str">
        <f t="shared" si="5"/>
        <v>TuePMHS</v>
      </c>
      <c r="N20" s="38" t="str">
        <f t="shared" si="5"/>
        <v>WedPMHS</v>
      </c>
      <c r="O20" s="38" t="str">
        <f t="shared" si="5"/>
        <v>ThuPMHS</v>
      </c>
      <c r="P20" s="38" t="str">
        <f t="shared" si="5"/>
        <v>FriPMHS</v>
      </c>
      <c r="Q20" s="14" t="str">
        <f t="shared" si="6"/>
        <v>PM68</v>
      </c>
      <c r="S20" s="5">
        <v>0.66666666666666696</v>
      </c>
      <c r="T20" s="31">
        <v>17</v>
      </c>
      <c r="U20" s="38" t="str">
        <f t="shared" si="7"/>
        <v>MonMedPro</v>
      </c>
      <c r="V20" s="38" t="str">
        <f t="shared" si="7"/>
        <v>TueMedPro</v>
      </c>
      <c r="W20" s="38" t="str">
        <f t="shared" si="7"/>
        <v>WedMedPro</v>
      </c>
      <c r="X20" s="38" t="str">
        <f t="shared" si="7"/>
        <v>ThuMedPro</v>
      </c>
      <c r="Y20" s="38" t="str">
        <f t="shared" si="7"/>
        <v>FriMedPro</v>
      </c>
      <c r="Z20" s="14" t="str">
        <f t="shared" si="8"/>
        <v>Me68</v>
      </c>
      <c r="AB20" s="5">
        <v>0.625</v>
      </c>
      <c r="AC20" s="31">
        <v>17</v>
      </c>
      <c r="AD20" s="38" t="str">
        <f t="shared" si="9"/>
        <v>MonPWR</v>
      </c>
      <c r="AE20" s="38" t="str">
        <f t="shared" si="9"/>
        <v>TuePWR</v>
      </c>
      <c r="AF20" s="38" t="str">
        <f t="shared" si="9"/>
        <v>WedPWR</v>
      </c>
      <c r="AG20" s="38" t="str">
        <f t="shared" si="9"/>
        <v>ThuPWR</v>
      </c>
      <c r="AH20" s="38" t="str">
        <f t="shared" si="9"/>
        <v>FriPWR</v>
      </c>
      <c r="AI20" s="14" t="str">
        <f t="shared" si="10"/>
        <v>PW26</v>
      </c>
    </row>
    <row r="21" spans="1:35" ht="15" x14ac:dyDescent="0.2">
      <c r="A21" s="6">
        <v>0.8125</v>
      </c>
      <c r="B21" s="31">
        <v>18</v>
      </c>
      <c r="C21" s="40" t="str">
        <f t="shared" si="11"/>
        <v>MonMAPD</v>
      </c>
      <c r="D21" s="40" t="str">
        <f t="shared" si="11"/>
        <v>TueMAPD</v>
      </c>
      <c r="E21" s="40" t="str">
        <f t="shared" si="11"/>
        <v>WedMAPD</v>
      </c>
      <c r="F21" s="40" t="str">
        <f t="shared" si="11"/>
        <v>ThuMAPD</v>
      </c>
      <c r="G21" s="40" t="str">
        <f t="shared" si="11"/>
        <v>FriMAPD</v>
      </c>
      <c r="H21" s="14" t="str">
        <f t="shared" si="4"/>
        <v>MA26</v>
      </c>
      <c r="J21" s="5">
        <v>0.6875</v>
      </c>
      <c r="K21" s="31">
        <v>18</v>
      </c>
      <c r="L21" s="38" t="str">
        <f t="shared" si="5"/>
        <v>MonPMHS</v>
      </c>
      <c r="M21" s="38" t="str">
        <f t="shared" si="5"/>
        <v>TuePMHS</v>
      </c>
      <c r="N21" s="38" t="str">
        <f t="shared" si="5"/>
        <v>WedPMHS</v>
      </c>
      <c r="O21" s="38" t="str">
        <f t="shared" si="5"/>
        <v>ThuPMHS</v>
      </c>
      <c r="P21" s="38" t="str">
        <f t="shared" si="5"/>
        <v>FriPMHS</v>
      </c>
      <c r="Q21" s="14" t="str">
        <f t="shared" si="6"/>
        <v>PM76</v>
      </c>
      <c r="S21" s="5">
        <v>0.6875</v>
      </c>
      <c r="T21" s="31">
        <v>18</v>
      </c>
      <c r="U21" s="38" t="str">
        <f t="shared" si="7"/>
        <v>MonMedPro</v>
      </c>
      <c r="V21" s="38" t="str">
        <f t="shared" si="7"/>
        <v>TueMedPro</v>
      </c>
      <c r="W21" s="38" t="str">
        <f t="shared" si="7"/>
        <v>WedMedPro</v>
      </c>
      <c r="X21" s="38" t="str">
        <f t="shared" si="7"/>
        <v>ThuMedPro</v>
      </c>
      <c r="Y21" s="38" t="str">
        <f t="shared" si="7"/>
        <v>FriMedPro</v>
      </c>
      <c r="Z21" s="14" t="str">
        <f t="shared" si="8"/>
        <v>Me76</v>
      </c>
      <c r="AB21" s="5">
        <v>0.64583333333333304</v>
      </c>
      <c r="AC21" s="31">
        <v>18</v>
      </c>
      <c r="AD21" s="38" t="str">
        <f t="shared" si="9"/>
        <v>MonPWR</v>
      </c>
      <c r="AE21" s="38" t="str">
        <f t="shared" si="9"/>
        <v>TuePWR</v>
      </c>
      <c r="AF21" s="38" t="str">
        <f t="shared" si="9"/>
        <v>WedPWR</v>
      </c>
      <c r="AG21" s="38" t="str">
        <f t="shared" si="9"/>
        <v>ThuPWR</v>
      </c>
      <c r="AH21" s="38" t="str">
        <f t="shared" si="9"/>
        <v>FriPWR</v>
      </c>
      <c r="AI21" s="14" t="str">
        <f t="shared" si="10"/>
        <v>PW34</v>
      </c>
    </row>
    <row r="22" spans="1:35" ht="15" x14ac:dyDescent="0.2">
      <c r="A22" s="2"/>
      <c r="B22" s="30"/>
      <c r="J22" s="5">
        <v>0.70833333333333404</v>
      </c>
      <c r="K22" s="31">
        <v>19</v>
      </c>
      <c r="L22" s="38" t="str">
        <f t="shared" si="5"/>
        <v>MonPMHS</v>
      </c>
      <c r="M22" s="38" t="str">
        <f t="shared" si="5"/>
        <v>TuePMHS</v>
      </c>
      <c r="N22" s="38" t="str">
        <f t="shared" si="5"/>
        <v>WedPMHS</v>
      </c>
      <c r="O22" s="38" t="str">
        <f t="shared" si="5"/>
        <v>ThuPMHS</v>
      </c>
      <c r="P22" s="38" t="str">
        <f t="shared" si="5"/>
        <v>FriPMHS</v>
      </c>
      <c r="Q22" s="14" t="str">
        <f t="shared" si="6"/>
        <v>PM35</v>
      </c>
      <c r="S22" s="5">
        <v>0.70833333333333404</v>
      </c>
      <c r="T22" s="31">
        <v>19</v>
      </c>
      <c r="U22" s="38" t="str">
        <f t="shared" si="7"/>
        <v>MonMedPro</v>
      </c>
      <c r="V22" s="38" t="str">
        <f t="shared" si="7"/>
        <v>TueMedPro</v>
      </c>
      <c r="W22" s="38" t="str">
        <f t="shared" si="7"/>
        <v>WedMedPro</v>
      </c>
      <c r="X22" s="38" t="str">
        <f t="shared" si="7"/>
        <v>ThuMedPro</v>
      </c>
      <c r="Y22" s="38" t="str">
        <f t="shared" si="7"/>
        <v>FriMedPro</v>
      </c>
      <c r="Z22" s="14" t="str">
        <f t="shared" si="8"/>
        <v>Me35</v>
      </c>
      <c r="AB22" s="5">
        <v>0.66666666666666696</v>
      </c>
      <c r="AC22" s="31">
        <v>19</v>
      </c>
      <c r="AD22" s="38" t="str">
        <f t="shared" si="9"/>
        <v>MonPWR</v>
      </c>
      <c r="AE22" s="38" t="str">
        <f t="shared" si="9"/>
        <v>TuePWR</v>
      </c>
      <c r="AF22" s="38" t="str">
        <f t="shared" si="9"/>
        <v>WedPWR</v>
      </c>
      <c r="AG22" s="38" t="str">
        <f t="shared" si="9"/>
        <v>ThuPWR</v>
      </c>
      <c r="AH22" s="38" t="str">
        <f t="shared" si="9"/>
        <v>FriPWR</v>
      </c>
      <c r="AI22" s="14" t="str">
        <f t="shared" si="10"/>
        <v>PW68</v>
      </c>
    </row>
    <row r="23" spans="1:35" ht="15" x14ac:dyDescent="0.2">
      <c r="B23" s="30"/>
      <c r="J23" s="5">
        <v>0.72916666666666696</v>
      </c>
      <c r="K23" s="31">
        <v>20</v>
      </c>
      <c r="L23" s="38" t="str">
        <f t="shared" si="5"/>
        <v>MonPMHS</v>
      </c>
      <c r="M23" s="38" t="str">
        <f t="shared" si="5"/>
        <v>TuePMHS</v>
      </c>
      <c r="N23" s="38" t="str">
        <f t="shared" si="5"/>
        <v>WedPMHS</v>
      </c>
      <c r="O23" s="38" t="str">
        <f t="shared" si="5"/>
        <v>ThuPMHS</v>
      </c>
      <c r="P23" s="38" t="str">
        <f t="shared" si="5"/>
        <v>FriPMHS</v>
      </c>
      <c r="Q23" s="14" t="str">
        <f t="shared" si="6"/>
        <v>PM68</v>
      </c>
      <c r="S23" s="5">
        <v>0.72916666666666696</v>
      </c>
      <c r="T23" s="31">
        <v>20</v>
      </c>
      <c r="U23" s="38" t="str">
        <f t="shared" si="7"/>
        <v>MonMedPro</v>
      </c>
      <c r="V23" s="38" t="str">
        <f t="shared" si="7"/>
        <v>TueMedPro</v>
      </c>
      <c r="W23" s="38" t="str">
        <f t="shared" si="7"/>
        <v>WedMedPro</v>
      </c>
      <c r="X23" s="38" t="str">
        <f t="shared" si="7"/>
        <v>ThuMedPro</v>
      </c>
      <c r="Y23" s="38" t="str">
        <f t="shared" si="7"/>
        <v>FriMedPro</v>
      </c>
      <c r="Z23" s="14" t="str">
        <f t="shared" si="8"/>
        <v>Me68</v>
      </c>
      <c r="AB23" s="5">
        <v>0.6875</v>
      </c>
      <c r="AC23" s="31">
        <v>20</v>
      </c>
      <c r="AD23" s="38" t="str">
        <f t="shared" si="9"/>
        <v>MonPWR</v>
      </c>
      <c r="AE23" s="38" t="str">
        <f t="shared" si="9"/>
        <v>TuePWR</v>
      </c>
      <c r="AF23" s="38" t="str">
        <f t="shared" si="9"/>
        <v>WedPWR</v>
      </c>
      <c r="AG23" s="38" t="str">
        <f t="shared" si="9"/>
        <v>ThuPWR</v>
      </c>
      <c r="AH23" s="38" t="str">
        <f t="shared" si="9"/>
        <v>FriPWR</v>
      </c>
      <c r="AI23" s="14" t="str">
        <f t="shared" si="10"/>
        <v>PW76</v>
      </c>
    </row>
    <row r="24" spans="1:35" ht="15" x14ac:dyDescent="0.2">
      <c r="B24" s="30"/>
      <c r="J24" s="5">
        <v>0.75</v>
      </c>
      <c r="K24" s="31">
        <v>21</v>
      </c>
      <c r="L24" s="38" t="str">
        <f t="shared" si="5"/>
        <v>MonPMHS</v>
      </c>
      <c r="M24" s="38" t="str">
        <f t="shared" si="5"/>
        <v>TuePMHS</v>
      </c>
      <c r="N24" s="38" t="str">
        <f t="shared" si="5"/>
        <v>WedPMHS</v>
      </c>
      <c r="O24" s="38" t="str">
        <f t="shared" si="5"/>
        <v>ThuPMHS</v>
      </c>
      <c r="P24" s="38" t="str">
        <f t="shared" si="5"/>
        <v>FriPMHS</v>
      </c>
      <c r="Q24" s="14" t="str">
        <f t="shared" si="6"/>
        <v>PM76</v>
      </c>
      <c r="S24" s="5">
        <v>0.75</v>
      </c>
      <c r="T24" s="31">
        <v>21</v>
      </c>
      <c r="U24" s="38" t="str">
        <f t="shared" si="7"/>
        <v>MonMedPro</v>
      </c>
      <c r="V24" s="38" t="str">
        <f t="shared" si="7"/>
        <v>TueMedPro</v>
      </c>
      <c r="W24" s="38" t="str">
        <f t="shared" si="7"/>
        <v>WedMedPro</v>
      </c>
      <c r="X24" s="38" t="str">
        <f t="shared" si="7"/>
        <v>ThuMedPro</v>
      </c>
      <c r="Y24" s="38" t="str">
        <f t="shared" si="7"/>
        <v>FriMedPro</v>
      </c>
      <c r="Z24" s="14" t="str">
        <f t="shared" si="8"/>
        <v>Me76</v>
      </c>
      <c r="AB24" s="5">
        <v>0.70833333333333304</v>
      </c>
      <c r="AC24" s="31">
        <v>21</v>
      </c>
      <c r="AD24" s="38" t="str">
        <f t="shared" si="9"/>
        <v>MonPWR</v>
      </c>
      <c r="AE24" s="38" t="str">
        <f t="shared" si="9"/>
        <v>TuePWR</v>
      </c>
      <c r="AF24" s="38" t="str">
        <f t="shared" si="9"/>
        <v>WedPWR</v>
      </c>
      <c r="AG24" s="38" t="str">
        <f t="shared" si="9"/>
        <v>ThuPWR</v>
      </c>
      <c r="AH24" s="38" t="str">
        <f t="shared" si="9"/>
        <v>FriPWR</v>
      </c>
      <c r="AI24" s="14" t="str">
        <f t="shared" si="10"/>
        <v>PW34</v>
      </c>
    </row>
    <row r="25" spans="1:35" ht="15" x14ac:dyDescent="0.2">
      <c r="B25" s="30"/>
      <c r="J25" s="5">
        <v>0.77083333333333404</v>
      </c>
      <c r="K25" s="31">
        <v>22</v>
      </c>
      <c r="L25" s="38" t="str">
        <f t="shared" si="5"/>
        <v>MonPMHS</v>
      </c>
      <c r="M25" s="38" t="str">
        <f t="shared" si="5"/>
        <v>TuePMHS</v>
      </c>
      <c r="N25" s="38" t="str">
        <f t="shared" si="5"/>
        <v>WedPMHS</v>
      </c>
      <c r="O25" s="38" t="str">
        <f t="shared" si="5"/>
        <v>ThuPMHS</v>
      </c>
      <c r="P25" s="38" t="str">
        <f t="shared" si="5"/>
        <v>FriPMHS</v>
      </c>
      <c r="Q25" s="14" t="str">
        <f t="shared" si="6"/>
        <v>PM35</v>
      </c>
      <c r="S25" s="5">
        <v>0.77083333333333404</v>
      </c>
      <c r="T25" s="31">
        <v>22</v>
      </c>
      <c r="U25" s="38" t="str">
        <f t="shared" si="7"/>
        <v>MonMedPro</v>
      </c>
      <c r="V25" s="38" t="str">
        <f t="shared" si="7"/>
        <v>TueMedPro</v>
      </c>
      <c r="W25" s="38" t="str">
        <f t="shared" si="7"/>
        <v>WedMedPro</v>
      </c>
      <c r="X25" s="38" t="str">
        <f t="shared" si="7"/>
        <v>ThuMedPro</v>
      </c>
      <c r="Y25" s="38" t="str">
        <f t="shared" si="7"/>
        <v>FriMedPro</v>
      </c>
      <c r="Z25" s="14" t="str">
        <f t="shared" si="8"/>
        <v>Me35</v>
      </c>
      <c r="AB25" s="5">
        <v>0.72916666666666696</v>
      </c>
      <c r="AC25" s="31">
        <v>22</v>
      </c>
      <c r="AD25" s="38" t="str">
        <f t="shared" si="9"/>
        <v>MonPWR</v>
      </c>
      <c r="AE25" s="38" t="str">
        <f t="shared" si="9"/>
        <v>TuePWR</v>
      </c>
      <c r="AF25" s="38" t="str">
        <f t="shared" si="9"/>
        <v>WedPWR</v>
      </c>
      <c r="AG25" s="38" t="str">
        <f t="shared" si="9"/>
        <v>ThuPWR</v>
      </c>
      <c r="AH25" s="38" t="str">
        <f t="shared" si="9"/>
        <v>FriPWR</v>
      </c>
      <c r="AI25" s="14" t="str">
        <f t="shared" si="10"/>
        <v>PW68</v>
      </c>
    </row>
    <row r="26" spans="1:35" ht="15" x14ac:dyDescent="0.2">
      <c r="B26" s="30"/>
      <c r="J26" s="5">
        <v>0.79166666666666696</v>
      </c>
      <c r="K26" s="31">
        <v>23</v>
      </c>
      <c r="L26" s="38" t="str">
        <f t="shared" si="5"/>
        <v>MonPMHS</v>
      </c>
      <c r="M26" s="38" t="str">
        <f t="shared" si="5"/>
        <v>TuePMHS</v>
      </c>
      <c r="N26" s="38" t="str">
        <f t="shared" si="5"/>
        <v>WedPMHS</v>
      </c>
      <c r="O26" s="38" t="str">
        <f t="shared" si="5"/>
        <v>ThuPMHS</v>
      </c>
      <c r="P26" s="38" t="str">
        <f t="shared" si="5"/>
        <v>FriPMHS</v>
      </c>
      <c r="Q26" s="14" t="str">
        <f t="shared" si="6"/>
        <v>PM68</v>
      </c>
      <c r="S26" s="5">
        <v>0.79166666666666696</v>
      </c>
      <c r="T26" s="31">
        <v>23</v>
      </c>
      <c r="U26" s="38" t="str">
        <f t="shared" si="7"/>
        <v>MonMedPro</v>
      </c>
      <c r="V26" s="38" t="str">
        <f t="shared" si="7"/>
        <v>TueMedPro</v>
      </c>
      <c r="W26" s="38" t="str">
        <f t="shared" si="7"/>
        <v>WedMedPro</v>
      </c>
      <c r="X26" s="38" t="str">
        <f t="shared" si="7"/>
        <v>ThuMedPro</v>
      </c>
      <c r="Y26" s="38" t="str">
        <f t="shared" si="7"/>
        <v>FriMedPro</v>
      </c>
      <c r="Z26" s="14" t="str">
        <f t="shared" si="8"/>
        <v>Me68</v>
      </c>
      <c r="AB26" s="5">
        <v>0.75</v>
      </c>
      <c r="AC26" s="31">
        <v>23</v>
      </c>
      <c r="AD26" s="38" t="str">
        <f t="shared" si="9"/>
        <v>MonPWR</v>
      </c>
      <c r="AE26" s="38" t="str">
        <f t="shared" si="9"/>
        <v>TuePWR</v>
      </c>
      <c r="AF26" s="38" t="str">
        <f t="shared" si="9"/>
        <v>WedPWR</v>
      </c>
      <c r="AG26" s="38" t="str">
        <f t="shared" si="9"/>
        <v>ThuPWR</v>
      </c>
      <c r="AH26" s="38" t="str">
        <f t="shared" si="9"/>
        <v>FriPWR</v>
      </c>
      <c r="AI26" s="14" t="str">
        <f t="shared" si="10"/>
        <v>PW76</v>
      </c>
    </row>
    <row r="27" spans="1:35" ht="15" x14ac:dyDescent="0.2">
      <c r="B27" s="30"/>
      <c r="J27" s="6">
        <v>0.812500000000001</v>
      </c>
      <c r="K27" s="31">
        <v>24</v>
      </c>
      <c r="L27" s="38" t="str">
        <f t="shared" si="5"/>
        <v>MonPMHS</v>
      </c>
      <c r="M27" s="38" t="str">
        <f t="shared" si="5"/>
        <v>TuePMHS</v>
      </c>
      <c r="N27" s="38" t="str">
        <f t="shared" si="5"/>
        <v>WedPMHS</v>
      </c>
      <c r="O27" s="38" t="str">
        <f t="shared" si="5"/>
        <v>ThuPMHS</v>
      </c>
      <c r="P27" s="38" t="str">
        <f t="shared" si="5"/>
        <v>FriPMHS</v>
      </c>
      <c r="Q27" s="14" t="str">
        <f t="shared" si="6"/>
        <v>PM2</v>
      </c>
      <c r="S27" s="6">
        <v>0.812500000000001</v>
      </c>
      <c r="T27" s="31">
        <v>24</v>
      </c>
      <c r="U27" s="38" t="str">
        <f t="shared" si="7"/>
        <v>MonMedPro</v>
      </c>
      <c r="V27" s="38" t="str">
        <f t="shared" si="7"/>
        <v>TueMedPro</v>
      </c>
      <c r="W27" s="38" t="str">
        <f t="shared" si="7"/>
        <v>WedMedPro</v>
      </c>
      <c r="X27" s="38" t="str">
        <f t="shared" si="7"/>
        <v>ThuMedPro</v>
      </c>
      <c r="Y27" s="38" t="str">
        <f t="shared" si="7"/>
        <v>FriMedPro</v>
      </c>
      <c r="Z27" s="14" t="str">
        <f t="shared" si="8"/>
        <v>Me2</v>
      </c>
      <c r="AB27" s="6">
        <v>0.77083333333333304</v>
      </c>
      <c r="AC27" s="31">
        <v>24</v>
      </c>
      <c r="AD27" s="38" t="str">
        <f t="shared" si="9"/>
        <v>MonPWR</v>
      </c>
      <c r="AE27" s="38" t="str">
        <f t="shared" si="9"/>
        <v>TuePWR</v>
      </c>
      <c r="AF27" s="38" t="str">
        <f t="shared" si="9"/>
        <v>WedPWR</v>
      </c>
      <c r="AG27" s="38" t="str">
        <f t="shared" si="9"/>
        <v>ThuPWR</v>
      </c>
      <c r="AH27" s="38" t="str">
        <f t="shared" si="9"/>
        <v>FriPWR</v>
      </c>
      <c r="AI27" s="14" t="str">
        <f t="shared" si="10"/>
        <v>PW34</v>
      </c>
    </row>
    <row r="28" spans="1:35" ht="15" x14ac:dyDescent="0.2">
      <c r="B28" s="8"/>
      <c r="K28" s="8"/>
      <c r="T28" s="8"/>
      <c r="AC28" s="8"/>
    </row>
    <row r="29" spans="1:35" ht="15" x14ac:dyDescent="0.2">
      <c r="B29" s="8"/>
      <c r="K29" s="8"/>
      <c r="T29" s="8"/>
      <c r="AC29" s="8"/>
    </row>
    <row r="30" spans="1:35" ht="15" x14ac:dyDescent="0.2">
      <c r="B30" s="8"/>
      <c r="K30" s="8"/>
      <c r="T30" s="8"/>
      <c r="AC30" s="8"/>
    </row>
    <row r="31" spans="1:35" ht="15" x14ac:dyDescent="0.2">
      <c r="B31" s="8"/>
      <c r="K31" s="8"/>
      <c r="T31" s="8"/>
      <c r="AC31" s="8"/>
    </row>
    <row r="32" spans="1:35" ht="15" x14ac:dyDescent="0.2">
      <c r="B32" s="8"/>
      <c r="K32" s="8"/>
      <c r="T32" s="8"/>
      <c r="AC32" s="8"/>
    </row>
    <row r="33" spans="2:29" ht="15" x14ac:dyDescent="0.2">
      <c r="B33" s="8"/>
      <c r="K33" s="8"/>
      <c r="T33" s="8"/>
      <c r="AC33" s="8"/>
    </row>
    <row r="34" spans="2:29" ht="15" x14ac:dyDescent="0.2">
      <c r="B34" s="8"/>
      <c r="K34" s="8"/>
      <c r="T34" s="8"/>
      <c r="AC34" s="8"/>
    </row>
    <row r="35" spans="2:29" ht="15" x14ac:dyDescent="0.2">
      <c r="B35" s="8"/>
      <c r="K35" s="8"/>
      <c r="T35" s="8"/>
      <c r="AC35" s="8"/>
    </row>
    <row r="36" spans="2:29" ht="15" x14ac:dyDescent="0.2">
      <c r="B36" s="8"/>
      <c r="K36" s="8"/>
      <c r="T36" s="8"/>
      <c r="AC36" s="8"/>
    </row>
    <row r="37" spans="2:29" ht="15" x14ac:dyDescent="0.2">
      <c r="B37" s="8"/>
      <c r="K37" s="8"/>
      <c r="T37" s="8"/>
      <c r="AC37" s="8"/>
    </row>
    <row r="38" spans="2:29" ht="15" x14ac:dyDescent="0.2">
      <c r="B38" s="8"/>
      <c r="K38" s="8"/>
      <c r="T38" s="8"/>
      <c r="AC38" s="8"/>
    </row>
    <row r="39" spans="2:29" ht="15" x14ac:dyDescent="0.2">
      <c r="B39" s="8"/>
      <c r="K39" s="8"/>
      <c r="T39" s="8"/>
      <c r="AC39" s="8"/>
    </row>
    <row r="40" spans="2:29" ht="15" x14ac:dyDescent="0.2">
      <c r="B40" s="8"/>
      <c r="K40" s="8"/>
      <c r="T40" s="8"/>
      <c r="AC40" s="8"/>
    </row>
    <row r="41" spans="2:29" ht="15" x14ac:dyDescent="0.2">
      <c r="B41" s="8"/>
      <c r="K41" s="8"/>
      <c r="T41" s="8"/>
      <c r="AC41" s="8"/>
    </row>
    <row r="42" spans="2:29" ht="15" x14ac:dyDescent="0.2">
      <c r="B42" s="8"/>
      <c r="K42" s="8"/>
      <c r="T42" s="8"/>
      <c r="AC42" s="8"/>
    </row>
    <row r="43" spans="2:29" ht="15" x14ac:dyDescent="0.2">
      <c r="B43" s="8"/>
      <c r="K43" s="8"/>
      <c r="T43" s="8"/>
      <c r="AC43" s="8"/>
    </row>
    <row r="44" spans="2:29" ht="15" x14ac:dyDescent="0.2">
      <c r="B44" s="8"/>
      <c r="K44" s="8"/>
      <c r="T44" s="8"/>
      <c r="AC44" s="8"/>
    </row>
    <row r="45" spans="2:29" ht="15" x14ac:dyDescent="0.2">
      <c r="B45" s="8"/>
      <c r="K45" s="8"/>
      <c r="T45" s="8"/>
      <c r="AC45" s="8"/>
    </row>
    <row r="46" spans="2:29" ht="15" x14ac:dyDescent="0.2">
      <c r="B46" s="8"/>
      <c r="K46" s="8"/>
      <c r="T46" s="8"/>
      <c r="AC46" s="8"/>
    </row>
    <row r="47" spans="2:29" ht="15" x14ac:dyDescent="0.2">
      <c r="B47" s="8"/>
      <c r="K47" s="8"/>
      <c r="T47" s="8"/>
      <c r="AC47" s="8"/>
    </row>
    <row r="48" spans="2:29" ht="15" x14ac:dyDescent="0.2">
      <c r="B48" s="8"/>
      <c r="K48" s="8"/>
      <c r="T48" s="8"/>
      <c r="AC48" s="8"/>
    </row>
    <row r="49" spans="2:29" ht="15" x14ac:dyDescent="0.2">
      <c r="B49" s="8"/>
      <c r="K49" s="8"/>
      <c r="T49" s="8"/>
      <c r="AC49" s="8"/>
    </row>
    <row r="50" spans="2:29" ht="15" x14ac:dyDescent="0.2">
      <c r="B50" s="8"/>
      <c r="K50" s="8"/>
      <c r="T50" s="8"/>
      <c r="AC50" s="8"/>
    </row>
    <row r="51" spans="2:29" ht="15" x14ac:dyDescent="0.2">
      <c r="B51" s="8"/>
      <c r="K51" s="8"/>
      <c r="T51" s="8"/>
      <c r="AC51" s="8"/>
    </row>
    <row r="52" spans="2:29" ht="15" x14ac:dyDescent="0.2">
      <c r="B52" s="8"/>
      <c r="K52" s="8"/>
      <c r="T52" s="8"/>
      <c r="AC52" s="8"/>
    </row>
    <row r="53" spans="2:29" ht="15" x14ac:dyDescent="0.2">
      <c r="B53" s="8"/>
      <c r="K53" s="8"/>
      <c r="T53" s="8"/>
      <c r="AC53" s="8"/>
    </row>
    <row r="54" spans="2:29" ht="15" x14ac:dyDescent="0.2">
      <c r="B54" s="8"/>
      <c r="K54" s="8"/>
      <c r="T54" s="8"/>
      <c r="AC54" s="8"/>
    </row>
    <row r="55" spans="2:29" ht="15" x14ac:dyDescent="0.2">
      <c r="B55" s="8"/>
      <c r="K55" s="8"/>
      <c r="T55" s="8"/>
      <c r="AC55" s="8"/>
    </row>
    <row r="56" spans="2:29" ht="15" x14ac:dyDescent="0.2">
      <c r="B56" s="8"/>
      <c r="K56" s="8"/>
      <c r="T56" s="8"/>
      <c r="AC56" s="8"/>
    </row>
    <row r="57" spans="2:29" ht="15" x14ac:dyDescent="0.2">
      <c r="B57" s="8"/>
      <c r="K57" s="8"/>
      <c r="T57" s="8"/>
      <c r="AC57" s="8"/>
    </row>
    <row r="58" spans="2:29" ht="15" x14ac:dyDescent="0.2">
      <c r="B58" s="8"/>
      <c r="K58" s="8"/>
      <c r="T58" s="8"/>
      <c r="AC58" s="8"/>
    </row>
    <row r="59" spans="2:29" ht="15" x14ac:dyDescent="0.2">
      <c r="B59" s="8"/>
      <c r="K59" s="8"/>
      <c r="T59" s="8"/>
      <c r="AC59" s="8"/>
    </row>
    <row r="60" spans="2:29" ht="15" x14ac:dyDescent="0.2">
      <c r="B60" s="8"/>
      <c r="K60" s="8"/>
      <c r="T60" s="8"/>
      <c r="AC60" s="8"/>
    </row>
    <row r="61" spans="2:29" ht="15" x14ac:dyDescent="0.2">
      <c r="B61" s="8"/>
      <c r="K61" s="8"/>
      <c r="T61" s="8"/>
      <c r="AC61" s="8"/>
    </row>
    <row r="62" spans="2:29" ht="15" x14ac:dyDescent="0.2">
      <c r="B62" s="8"/>
      <c r="K62" s="8"/>
      <c r="T62" s="8"/>
      <c r="AC62" s="8"/>
    </row>
    <row r="63" spans="2:29" ht="15" x14ac:dyDescent="0.2">
      <c r="B63" s="8"/>
      <c r="K63" s="8"/>
      <c r="T63" s="8"/>
      <c r="AC63" s="8"/>
    </row>
    <row r="64" spans="2:29" ht="15" x14ac:dyDescent="0.2">
      <c r="B64" s="8"/>
      <c r="K64" s="8"/>
      <c r="T64" s="8"/>
      <c r="AC64" s="8"/>
    </row>
    <row r="65" spans="2:29" ht="15" x14ac:dyDescent="0.2">
      <c r="B65" s="8"/>
      <c r="K65" s="8"/>
      <c r="T65" s="8"/>
      <c r="AC65" s="8"/>
    </row>
    <row r="66" spans="2:29" ht="15" x14ac:dyDescent="0.2">
      <c r="B66" s="8"/>
      <c r="K66" s="8"/>
      <c r="T66" s="8"/>
      <c r="AC66" s="8"/>
    </row>
    <row r="67" spans="2:29" ht="15" x14ac:dyDescent="0.2">
      <c r="B67" s="8"/>
      <c r="K67" s="8"/>
      <c r="T67" s="8"/>
      <c r="AC67" s="8"/>
    </row>
    <row r="68" spans="2:29" ht="15" x14ac:dyDescent="0.2">
      <c r="B68" s="8"/>
      <c r="K68" s="8"/>
      <c r="T68" s="8"/>
      <c r="AC68" s="8"/>
    </row>
    <row r="69" spans="2:29" ht="15" x14ac:dyDescent="0.2">
      <c r="B69" s="8"/>
      <c r="K69" s="8"/>
      <c r="T69" s="8"/>
      <c r="AC69" s="8"/>
    </row>
    <row r="70" spans="2:29" ht="15" x14ac:dyDescent="0.2">
      <c r="B70" s="8"/>
      <c r="K70" s="8"/>
      <c r="T70" s="8"/>
      <c r="AC70" s="8"/>
    </row>
    <row r="71" spans="2:29" ht="15" x14ac:dyDescent="0.2">
      <c r="B71" s="8"/>
      <c r="K71" s="8"/>
      <c r="T71" s="8"/>
      <c r="AC71" s="8"/>
    </row>
    <row r="72" spans="2:29" ht="15" x14ac:dyDescent="0.2">
      <c r="B72" s="8"/>
      <c r="K72" s="8"/>
      <c r="T72" s="8"/>
      <c r="AC72" s="8"/>
    </row>
    <row r="73" spans="2:29" ht="15" x14ac:dyDescent="0.2">
      <c r="B73" s="8"/>
      <c r="K73" s="8"/>
      <c r="T73" s="8"/>
      <c r="AC73" s="8"/>
    </row>
    <row r="74" spans="2:29" ht="15" x14ac:dyDescent="0.2">
      <c r="B74" s="8"/>
      <c r="K74" s="8"/>
      <c r="T74" s="8"/>
      <c r="AC74" s="8"/>
    </row>
    <row r="75" spans="2:29" ht="15" x14ac:dyDescent="0.2">
      <c r="B75" s="8"/>
      <c r="K75" s="8"/>
      <c r="T75" s="8"/>
      <c r="AC75" s="8"/>
    </row>
    <row r="76" spans="2:29" ht="15" x14ac:dyDescent="0.2">
      <c r="B76" s="8"/>
      <c r="K76" s="8"/>
      <c r="T76" s="8"/>
      <c r="AC76" s="8"/>
    </row>
    <row r="77" spans="2:29" ht="15" x14ac:dyDescent="0.2">
      <c r="B77" s="8"/>
      <c r="K77" s="8"/>
      <c r="T77" s="8"/>
      <c r="AC77" s="8"/>
    </row>
    <row r="78" spans="2:29" ht="15" x14ac:dyDescent="0.2">
      <c r="B78" s="8"/>
      <c r="K78" s="8"/>
      <c r="T78" s="8"/>
      <c r="AC78" s="8"/>
    </row>
    <row r="79" spans="2:29" ht="15" x14ac:dyDescent="0.2">
      <c r="B79" s="8"/>
      <c r="K79" s="8"/>
      <c r="T79" s="8"/>
      <c r="AC79" s="8"/>
    </row>
    <row r="80" spans="2:29" ht="15" x14ac:dyDescent="0.2">
      <c r="B80" s="8"/>
      <c r="K80" s="8"/>
      <c r="T80" s="8"/>
      <c r="AC80" s="8"/>
    </row>
    <row r="81" spans="2:29" ht="15" x14ac:dyDescent="0.2">
      <c r="B81" s="8"/>
      <c r="K81" s="8"/>
      <c r="T81" s="8"/>
      <c r="AC81" s="8"/>
    </row>
    <row r="82" spans="2:29" ht="15" x14ac:dyDescent="0.2">
      <c r="B82" s="8"/>
      <c r="K82" s="8"/>
      <c r="T82" s="8"/>
      <c r="AC82" s="8"/>
    </row>
    <row r="83" spans="2:29" ht="15" x14ac:dyDescent="0.2">
      <c r="B83" s="8"/>
      <c r="K83" s="8"/>
      <c r="T83" s="8"/>
      <c r="AC83" s="8"/>
    </row>
    <row r="84" spans="2:29" ht="15" x14ac:dyDescent="0.2">
      <c r="B84" s="8"/>
      <c r="K84" s="8"/>
      <c r="T84" s="8"/>
      <c r="AC84" s="8"/>
    </row>
    <row r="85" spans="2:29" ht="15" x14ac:dyDescent="0.2">
      <c r="B85" s="8"/>
      <c r="K85" s="8"/>
      <c r="T85" s="8"/>
      <c r="AC85" s="8"/>
    </row>
    <row r="86" spans="2:29" ht="15" x14ac:dyDescent="0.2">
      <c r="B86" s="8"/>
      <c r="K86" s="8"/>
      <c r="T86" s="8"/>
      <c r="AC86" s="8"/>
    </row>
    <row r="87" spans="2:29" ht="15" x14ac:dyDescent="0.2">
      <c r="B87" s="8"/>
      <c r="K87" s="8"/>
      <c r="T87" s="8"/>
      <c r="AC87" s="8"/>
    </row>
    <row r="88" spans="2:29" ht="15" x14ac:dyDescent="0.2">
      <c r="B88" s="8"/>
      <c r="K88" s="8"/>
      <c r="T88" s="8"/>
      <c r="AC88" s="8"/>
    </row>
    <row r="89" spans="2:29" ht="15" x14ac:dyDescent="0.2">
      <c r="B89" s="8"/>
      <c r="K89" s="8"/>
      <c r="T89" s="8"/>
      <c r="AC89" s="8"/>
    </row>
    <row r="90" spans="2:29" ht="15" x14ac:dyDescent="0.2">
      <c r="B90" s="8"/>
      <c r="K90" s="8"/>
      <c r="T90" s="8"/>
      <c r="AC90" s="8"/>
    </row>
    <row r="91" spans="2:29" ht="15" x14ac:dyDescent="0.2">
      <c r="B91" s="8"/>
      <c r="K91" s="8"/>
      <c r="T91" s="8"/>
      <c r="AC91" s="8"/>
    </row>
    <row r="92" spans="2:29" ht="15" x14ac:dyDescent="0.2">
      <c r="B92" s="8"/>
      <c r="K92" s="8"/>
      <c r="T92" s="8"/>
      <c r="AC92" s="8"/>
    </row>
    <row r="93" spans="2:29" ht="15" x14ac:dyDescent="0.2">
      <c r="B93" s="8"/>
      <c r="K93" s="8"/>
      <c r="T93" s="8"/>
      <c r="AC93" s="8"/>
    </row>
    <row r="94" spans="2:29" ht="15" x14ac:dyDescent="0.2">
      <c r="B94" s="8"/>
      <c r="K94" s="8"/>
      <c r="T94" s="8"/>
      <c r="AC94" s="8"/>
    </row>
    <row r="95" spans="2:29" ht="15" x14ac:dyDescent="0.2">
      <c r="B95" s="8"/>
      <c r="K95" s="8"/>
      <c r="T95" s="8"/>
      <c r="AC95" s="8"/>
    </row>
    <row r="96" spans="2:29" ht="15" x14ac:dyDescent="0.2">
      <c r="B96" s="8"/>
      <c r="K96" s="8"/>
      <c r="T96" s="8"/>
      <c r="AC96" s="8"/>
    </row>
    <row r="97" spans="2:29" ht="15" x14ac:dyDescent="0.2">
      <c r="B97" s="8"/>
      <c r="K97" s="8"/>
      <c r="T97" s="8"/>
      <c r="AC97" s="8"/>
    </row>
    <row r="98" spans="2:29" ht="15" x14ac:dyDescent="0.2">
      <c r="B98" s="8"/>
      <c r="K98" s="8"/>
      <c r="T98" s="8"/>
      <c r="AC98" s="8"/>
    </row>
    <row r="99" spans="2:29" ht="15" x14ac:dyDescent="0.2">
      <c r="B99" s="8"/>
      <c r="K99" s="8"/>
      <c r="T99" s="8"/>
      <c r="AC99" s="8"/>
    </row>
    <row r="100" spans="2:29" ht="15" x14ac:dyDescent="0.2">
      <c r="B100" s="8"/>
      <c r="K100" s="8"/>
      <c r="T100" s="8"/>
      <c r="AC100" s="8"/>
    </row>
    <row r="101" spans="2:29" ht="15" x14ac:dyDescent="0.2">
      <c r="B101" s="8"/>
      <c r="K101" s="8"/>
      <c r="T101" s="8"/>
      <c r="AC101" s="8"/>
    </row>
    <row r="102" spans="2:29" ht="15" x14ac:dyDescent="0.2">
      <c r="B102" s="8"/>
      <c r="K102" s="8"/>
      <c r="T102" s="8"/>
      <c r="AC102" s="8"/>
    </row>
    <row r="103" spans="2:29" ht="15" x14ac:dyDescent="0.2">
      <c r="B103" s="8"/>
      <c r="K103" s="8"/>
      <c r="T103" s="8"/>
      <c r="AC103" s="8"/>
    </row>
    <row r="104" spans="2:29" ht="15" x14ac:dyDescent="0.2">
      <c r="B104" s="8"/>
      <c r="K104" s="8"/>
      <c r="T104" s="8"/>
      <c r="AC104" s="8"/>
    </row>
    <row r="105" spans="2:29" ht="15" x14ac:dyDescent="0.2">
      <c r="B105" s="8"/>
      <c r="K105" s="8"/>
      <c r="T105" s="8"/>
      <c r="AC105" s="8"/>
    </row>
    <row r="106" spans="2:29" ht="15" x14ac:dyDescent="0.2">
      <c r="B106" s="8"/>
      <c r="K106" s="8"/>
      <c r="T106" s="8"/>
      <c r="AC106" s="8"/>
    </row>
    <row r="107" spans="2:29" ht="15" x14ac:dyDescent="0.2">
      <c r="B107" s="8"/>
      <c r="K107" s="8"/>
      <c r="T107" s="8"/>
      <c r="AC107" s="8"/>
    </row>
    <row r="108" spans="2:29" ht="15" x14ac:dyDescent="0.2">
      <c r="B108" s="8"/>
      <c r="K108" s="8"/>
      <c r="T108" s="8"/>
      <c r="AC108" s="8"/>
    </row>
    <row r="109" spans="2:29" ht="15" x14ac:dyDescent="0.2">
      <c r="B109" s="8"/>
      <c r="K109" s="8"/>
      <c r="T109" s="8"/>
      <c r="AC109" s="8"/>
    </row>
    <row r="110" spans="2:29" ht="15" x14ac:dyDescent="0.2">
      <c r="B110" s="8"/>
      <c r="K110" s="8"/>
      <c r="T110" s="8"/>
      <c r="AC110" s="8"/>
    </row>
    <row r="111" spans="2:29" ht="15" x14ac:dyDescent="0.2">
      <c r="B111" s="8"/>
      <c r="K111" s="8"/>
      <c r="T111" s="8"/>
      <c r="AC111" s="8"/>
    </row>
    <row r="112" spans="2:29" ht="15" x14ac:dyDescent="0.2">
      <c r="B112" s="8"/>
      <c r="K112" s="8"/>
      <c r="T112" s="8"/>
      <c r="AC112" s="8"/>
    </row>
    <row r="113" spans="2:29" ht="15" x14ac:dyDescent="0.2">
      <c r="B113" s="8"/>
      <c r="K113" s="8"/>
      <c r="T113" s="8"/>
      <c r="AC113" s="8"/>
    </row>
    <row r="114" spans="2:29" ht="15" x14ac:dyDescent="0.2">
      <c r="B114" s="8"/>
      <c r="K114" s="8"/>
      <c r="T114" s="8"/>
      <c r="AC114" s="8"/>
    </row>
    <row r="115" spans="2:29" ht="15" x14ac:dyDescent="0.2">
      <c r="B115" s="8"/>
      <c r="K115" s="8"/>
      <c r="T115" s="8"/>
      <c r="AC115" s="8"/>
    </row>
    <row r="116" spans="2:29" ht="15" x14ac:dyDescent="0.2">
      <c r="B116" s="8"/>
      <c r="K116" s="8"/>
      <c r="T116" s="8"/>
      <c r="AC116" s="8"/>
    </row>
    <row r="117" spans="2:29" ht="15" x14ac:dyDescent="0.2">
      <c r="B117" s="8"/>
      <c r="K117" s="8"/>
      <c r="T117" s="8"/>
      <c r="AC117" s="8"/>
    </row>
    <row r="118" spans="2:29" ht="15" x14ac:dyDescent="0.2">
      <c r="B118" s="8"/>
      <c r="K118" s="8"/>
      <c r="T118" s="8"/>
      <c r="AC118" s="8"/>
    </row>
    <row r="119" spans="2:29" ht="15" x14ac:dyDescent="0.2">
      <c r="B119" s="8"/>
      <c r="K119" s="8"/>
      <c r="T119" s="8"/>
      <c r="AC119" s="8"/>
    </row>
    <row r="120" spans="2:29" ht="15" x14ac:dyDescent="0.2">
      <c r="B120" s="8"/>
      <c r="K120" s="8"/>
      <c r="T120" s="8"/>
      <c r="AC120" s="8"/>
    </row>
    <row r="121" spans="2:29" ht="15" x14ac:dyDescent="0.2">
      <c r="B121" s="8"/>
      <c r="K121" s="8"/>
      <c r="T121" s="8"/>
      <c r="AC121" s="8"/>
    </row>
    <row r="122" spans="2:29" ht="15" x14ac:dyDescent="0.2">
      <c r="B122" s="8"/>
      <c r="K122" s="8"/>
      <c r="T122" s="8"/>
      <c r="AC122" s="8"/>
    </row>
    <row r="123" spans="2:29" ht="15" x14ac:dyDescent="0.2">
      <c r="B123" s="8"/>
      <c r="K123" s="8"/>
      <c r="T123" s="8"/>
      <c r="AC123" s="8"/>
    </row>
    <row r="124" spans="2:29" ht="15" x14ac:dyDescent="0.2">
      <c r="B124" s="8"/>
      <c r="K124" s="8"/>
      <c r="T124" s="8"/>
      <c r="AC124" s="8"/>
    </row>
    <row r="125" spans="2:29" ht="15" x14ac:dyDescent="0.2">
      <c r="B125" s="8"/>
      <c r="K125" s="8"/>
      <c r="T125" s="8"/>
      <c r="AC125" s="8"/>
    </row>
    <row r="126" spans="2:29" ht="15" x14ac:dyDescent="0.2">
      <c r="B126" s="8"/>
      <c r="K126" s="8"/>
      <c r="T126" s="8"/>
      <c r="AC126" s="8"/>
    </row>
    <row r="127" spans="2:29" ht="15" x14ac:dyDescent="0.2">
      <c r="B127" s="8"/>
      <c r="K127" s="8"/>
      <c r="T127" s="8"/>
      <c r="AC127" s="8"/>
    </row>
    <row r="128" spans="2:29" ht="15" x14ac:dyDescent="0.2">
      <c r="B128" s="8"/>
      <c r="K128" s="8"/>
      <c r="T128" s="8"/>
      <c r="AC128" s="8"/>
    </row>
    <row r="129" spans="2:29" ht="15" x14ac:dyDescent="0.2">
      <c r="B129" s="8"/>
      <c r="K129" s="8"/>
      <c r="T129" s="8"/>
      <c r="AC129" s="8"/>
    </row>
    <row r="130" spans="2:29" ht="15" x14ac:dyDescent="0.2">
      <c r="B130" s="8"/>
      <c r="K130" s="8"/>
      <c r="T130" s="8"/>
      <c r="AC130" s="8"/>
    </row>
    <row r="131" spans="2:29" ht="15" x14ac:dyDescent="0.2">
      <c r="B131" s="8"/>
      <c r="K131" s="8"/>
      <c r="T131" s="8"/>
      <c r="AC131" s="8"/>
    </row>
    <row r="132" spans="2:29" ht="15" x14ac:dyDescent="0.2">
      <c r="B132" s="8"/>
      <c r="K132" s="8"/>
      <c r="T132" s="8"/>
      <c r="AC132" s="8"/>
    </row>
    <row r="133" spans="2:29" ht="15" x14ac:dyDescent="0.2">
      <c r="B133" s="8"/>
      <c r="K133" s="8"/>
      <c r="T133" s="8"/>
      <c r="AC133" s="8"/>
    </row>
    <row r="134" spans="2:29" ht="15" x14ac:dyDescent="0.2">
      <c r="B134" s="8"/>
      <c r="K134" s="8"/>
      <c r="T134" s="8"/>
      <c r="AC134" s="8"/>
    </row>
    <row r="135" spans="2:29" ht="15" x14ac:dyDescent="0.2">
      <c r="B135" s="8"/>
      <c r="K135" s="8"/>
      <c r="T135" s="8"/>
      <c r="AC135" s="8"/>
    </row>
    <row r="136" spans="2:29" ht="15" x14ac:dyDescent="0.2">
      <c r="B136" s="8"/>
      <c r="K136" s="8"/>
      <c r="T136" s="8"/>
      <c r="AC136" s="8"/>
    </row>
    <row r="137" spans="2:29" ht="15" x14ac:dyDescent="0.2">
      <c r="B137" s="8"/>
      <c r="K137" s="8"/>
      <c r="T137" s="8"/>
      <c r="AC137" s="8"/>
    </row>
    <row r="138" spans="2:29" ht="15" x14ac:dyDescent="0.2">
      <c r="B138" s="8"/>
      <c r="K138" s="8"/>
      <c r="T138" s="8"/>
      <c r="AC138" s="8"/>
    </row>
    <row r="139" spans="2:29" ht="15" x14ac:dyDescent="0.2">
      <c r="B139" s="8"/>
      <c r="K139" s="8"/>
      <c r="T139" s="8"/>
      <c r="AC139" s="8"/>
    </row>
    <row r="140" spans="2:29" ht="15" x14ac:dyDescent="0.2">
      <c r="B140" s="8"/>
      <c r="K140" s="8"/>
      <c r="T140" s="8"/>
      <c r="AC140" s="8"/>
    </row>
    <row r="141" spans="2:29" ht="15" x14ac:dyDescent="0.2">
      <c r="B141" s="8"/>
      <c r="K141" s="8"/>
      <c r="T141" s="8"/>
      <c r="AC141" s="8"/>
    </row>
    <row r="142" spans="2:29" ht="15" x14ac:dyDescent="0.2">
      <c r="B142" s="8"/>
      <c r="K142" s="8"/>
      <c r="T142" s="8"/>
      <c r="AC142" s="8"/>
    </row>
    <row r="143" spans="2:29" ht="15" x14ac:dyDescent="0.2">
      <c r="B143" s="8"/>
      <c r="K143" s="8"/>
      <c r="T143" s="8"/>
      <c r="AC143" s="8"/>
    </row>
    <row r="144" spans="2:29" ht="15" x14ac:dyDescent="0.2">
      <c r="B144" s="8"/>
      <c r="K144" s="8"/>
      <c r="T144" s="8"/>
      <c r="AC144" s="8"/>
    </row>
    <row r="145" spans="2:29" ht="15" x14ac:dyDescent="0.2">
      <c r="B145" s="8"/>
      <c r="K145" s="8"/>
      <c r="T145" s="8"/>
      <c r="AC145" s="8"/>
    </row>
    <row r="146" spans="2:29" ht="15" x14ac:dyDescent="0.2">
      <c r="B146" s="8"/>
      <c r="K146" s="8"/>
      <c r="T146" s="8"/>
      <c r="AC146" s="8"/>
    </row>
    <row r="147" spans="2:29" ht="15" x14ac:dyDescent="0.2">
      <c r="B147" s="8"/>
      <c r="K147" s="8"/>
      <c r="T147" s="8"/>
      <c r="AC147" s="8"/>
    </row>
    <row r="148" spans="2:29" ht="15" x14ac:dyDescent="0.2">
      <c r="B148" s="8"/>
      <c r="K148" s="8"/>
      <c r="T148" s="8"/>
      <c r="AC148" s="8"/>
    </row>
    <row r="149" spans="2:29" ht="15" x14ac:dyDescent="0.2">
      <c r="B149" s="8"/>
      <c r="K149" s="8"/>
      <c r="T149" s="8"/>
      <c r="AC149" s="8"/>
    </row>
    <row r="150" spans="2:29" ht="15" x14ac:dyDescent="0.2">
      <c r="B150" s="8"/>
      <c r="K150" s="8"/>
      <c r="T150" s="8"/>
      <c r="AC150" s="8"/>
    </row>
    <row r="151" spans="2:29" ht="15" x14ac:dyDescent="0.2">
      <c r="B151" s="8"/>
      <c r="K151" s="8"/>
      <c r="T151" s="8"/>
      <c r="AC151" s="8"/>
    </row>
    <row r="152" spans="2:29" ht="15" x14ac:dyDescent="0.2">
      <c r="B152" s="8"/>
      <c r="K152" s="8"/>
      <c r="T152" s="8"/>
      <c r="AC152" s="8"/>
    </row>
    <row r="153" spans="2:29" ht="15" x14ac:dyDescent="0.2">
      <c r="B153" s="8"/>
      <c r="K153" s="8"/>
      <c r="T153" s="8"/>
      <c r="AC153" s="8"/>
    </row>
    <row r="154" spans="2:29" ht="15" x14ac:dyDescent="0.2">
      <c r="B154" s="8"/>
      <c r="K154" s="8"/>
      <c r="T154" s="8"/>
      <c r="AC154" s="8"/>
    </row>
    <row r="155" spans="2:29" ht="15" x14ac:dyDescent="0.2">
      <c r="B155" s="8"/>
      <c r="K155" s="8"/>
      <c r="T155" s="8"/>
      <c r="AC155" s="8"/>
    </row>
    <row r="156" spans="2:29" ht="15" x14ac:dyDescent="0.2">
      <c r="B156" s="8"/>
      <c r="K156" s="8"/>
      <c r="T156" s="8"/>
      <c r="AC156" s="8"/>
    </row>
    <row r="157" spans="2:29" ht="15" x14ac:dyDescent="0.2">
      <c r="B157" s="8"/>
      <c r="K157" s="8"/>
      <c r="T157" s="8"/>
      <c r="AC157" s="8"/>
    </row>
    <row r="158" spans="2:29" ht="15" x14ac:dyDescent="0.2">
      <c r="B158" s="8"/>
      <c r="K158" s="8"/>
      <c r="T158" s="8"/>
      <c r="AC158" s="8"/>
    </row>
    <row r="159" spans="2:29" ht="15" x14ac:dyDescent="0.2">
      <c r="B159" s="8"/>
      <c r="K159" s="8"/>
      <c r="T159" s="8"/>
      <c r="AC159" s="8"/>
    </row>
    <row r="160" spans="2:29" ht="15" x14ac:dyDescent="0.2">
      <c r="B160" s="8"/>
      <c r="K160" s="8"/>
      <c r="T160" s="8"/>
      <c r="AC160" s="8"/>
    </row>
    <row r="161" spans="2:29" ht="15" x14ac:dyDescent="0.2">
      <c r="B161" s="8"/>
      <c r="K161" s="8"/>
      <c r="T161" s="8"/>
      <c r="AC161" s="8"/>
    </row>
    <row r="162" spans="2:29" ht="15" x14ac:dyDescent="0.2">
      <c r="B162" s="8"/>
      <c r="K162" s="8"/>
      <c r="T162" s="8"/>
      <c r="AC162" s="8"/>
    </row>
    <row r="163" spans="2:29" ht="15" x14ac:dyDescent="0.2">
      <c r="B163" s="8"/>
      <c r="K163" s="8"/>
      <c r="T163" s="8"/>
      <c r="AC163" s="8"/>
    </row>
    <row r="164" spans="2:29" ht="15" x14ac:dyDescent="0.2">
      <c r="B164" s="8"/>
      <c r="K164" s="8"/>
      <c r="T164" s="8"/>
      <c r="AC164" s="8"/>
    </row>
    <row r="165" spans="2:29" ht="15" x14ac:dyDescent="0.2">
      <c r="B165" s="8"/>
      <c r="K165" s="8"/>
      <c r="T165" s="8"/>
      <c r="AC165" s="8"/>
    </row>
    <row r="166" spans="2:29" ht="15" x14ac:dyDescent="0.2">
      <c r="B166" s="8"/>
      <c r="K166" s="8"/>
      <c r="T166" s="8"/>
      <c r="AC166" s="8"/>
    </row>
    <row r="167" spans="2:29" ht="15" x14ac:dyDescent="0.2">
      <c r="B167" s="8"/>
      <c r="K167" s="8"/>
      <c r="T167" s="8"/>
      <c r="AC167" s="8"/>
    </row>
    <row r="168" spans="2:29" ht="15" x14ac:dyDescent="0.2">
      <c r="B168" s="8"/>
      <c r="K168" s="8"/>
      <c r="T168" s="8"/>
      <c r="AC168" s="8"/>
    </row>
    <row r="169" spans="2:29" ht="15" x14ac:dyDescent="0.2">
      <c r="B169" s="8"/>
      <c r="K169" s="8"/>
      <c r="T169" s="8"/>
      <c r="AC169" s="8"/>
    </row>
    <row r="170" spans="2:29" ht="15" x14ac:dyDescent="0.2">
      <c r="B170" s="8"/>
      <c r="K170" s="8"/>
      <c r="T170" s="8"/>
      <c r="AC170" s="8"/>
    </row>
    <row r="171" spans="2:29" ht="15" x14ac:dyDescent="0.2">
      <c r="B171" s="8"/>
      <c r="K171" s="8"/>
      <c r="T171" s="8"/>
      <c r="AC171" s="8"/>
    </row>
    <row r="172" spans="2:29" ht="15" x14ac:dyDescent="0.2">
      <c r="B172" s="8"/>
      <c r="K172" s="8"/>
      <c r="T172" s="8"/>
      <c r="AC172" s="8"/>
    </row>
    <row r="173" spans="2:29" ht="15" x14ac:dyDescent="0.2">
      <c r="B173" s="8"/>
      <c r="K173" s="8"/>
      <c r="T173" s="8"/>
      <c r="AC173" s="8"/>
    </row>
    <row r="174" spans="2:29" ht="15" x14ac:dyDescent="0.2">
      <c r="B174" s="8"/>
      <c r="K174" s="8"/>
      <c r="T174" s="8"/>
      <c r="AC174" s="8"/>
    </row>
    <row r="175" spans="2:29" ht="15" x14ac:dyDescent="0.2">
      <c r="B175" s="8"/>
      <c r="K175" s="8"/>
      <c r="T175" s="8"/>
      <c r="AC175" s="8"/>
    </row>
    <row r="176" spans="2:29" ht="15" x14ac:dyDescent="0.2">
      <c r="B176" s="8"/>
      <c r="K176" s="8"/>
      <c r="T176" s="8"/>
      <c r="AC176" s="8"/>
    </row>
    <row r="177" spans="2:29" ht="15" x14ac:dyDescent="0.2">
      <c r="B177" s="8"/>
      <c r="K177" s="8"/>
      <c r="T177" s="8"/>
      <c r="AC177" s="8"/>
    </row>
    <row r="178" spans="2:29" ht="15" x14ac:dyDescent="0.2">
      <c r="B178" s="8"/>
      <c r="K178" s="8"/>
      <c r="T178" s="8"/>
      <c r="AC178" s="8"/>
    </row>
    <row r="179" spans="2:29" ht="15" x14ac:dyDescent="0.2">
      <c r="B179" s="8"/>
      <c r="K179" s="8"/>
      <c r="T179" s="8"/>
      <c r="AC179" s="8"/>
    </row>
    <row r="180" spans="2:29" ht="15" x14ac:dyDescent="0.2">
      <c r="B180" s="8"/>
      <c r="K180" s="8"/>
      <c r="T180" s="8"/>
      <c r="AC180" s="8"/>
    </row>
    <row r="181" spans="2:29" ht="15" x14ac:dyDescent="0.2">
      <c r="B181" s="8"/>
      <c r="K181" s="8"/>
      <c r="T181" s="8"/>
      <c r="AC181" s="8"/>
    </row>
    <row r="182" spans="2:29" ht="15" x14ac:dyDescent="0.2">
      <c r="B182" s="8"/>
      <c r="K182" s="8"/>
      <c r="T182" s="8"/>
      <c r="AC182" s="8"/>
    </row>
    <row r="183" spans="2:29" ht="15" x14ac:dyDescent="0.2">
      <c r="B183" s="8"/>
      <c r="K183" s="8"/>
      <c r="T183" s="8"/>
      <c r="AC183" s="8"/>
    </row>
    <row r="184" spans="2:29" ht="15" x14ac:dyDescent="0.2">
      <c r="B184" s="8"/>
      <c r="K184" s="8"/>
      <c r="T184" s="8"/>
      <c r="AC184" s="8"/>
    </row>
    <row r="185" spans="2:29" ht="15" x14ac:dyDescent="0.2">
      <c r="B185" s="8"/>
      <c r="K185" s="8"/>
      <c r="T185" s="8"/>
      <c r="AC185" s="8"/>
    </row>
    <row r="186" spans="2:29" ht="15" x14ac:dyDescent="0.2">
      <c r="B186" s="8"/>
      <c r="K186" s="8"/>
      <c r="T186" s="8"/>
      <c r="AC186" s="8"/>
    </row>
    <row r="187" spans="2:29" ht="15" x14ac:dyDescent="0.2">
      <c r="B187" s="8"/>
      <c r="K187" s="8"/>
      <c r="T187" s="8"/>
      <c r="AC187" s="8"/>
    </row>
    <row r="188" spans="2:29" ht="15" x14ac:dyDescent="0.2">
      <c r="B188" s="8"/>
      <c r="K188" s="8"/>
      <c r="T188" s="8"/>
      <c r="AC188" s="8"/>
    </row>
    <row r="189" spans="2:29" ht="15" x14ac:dyDescent="0.2">
      <c r="B189" s="8"/>
      <c r="K189" s="8"/>
      <c r="T189" s="8"/>
      <c r="AC189" s="8"/>
    </row>
    <row r="190" spans="2:29" ht="15" x14ac:dyDescent="0.2">
      <c r="B190" s="8"/>
      <c r="K190" s="8"/>
      <c r="T190" s="8"/>
      <c r="AC190" s="8"/>
    </row>
    <row r="191" spans="2:29" ht="15" x14ac:dyDescent="0.2">
      <c r="B191" s="8"/>
      <c r="K191" s="8"/>
      <c r="T191" s="8"/>
      <c r="AC191" s="8"/>
    </row>
    <row r="192" spans="2:29" ht="15" x14ac:dyDescent="0.2">
      <c r="B192" s="8"/>
      <c r="K192" s="8"/>
      <c r="T192" s="8"/>
      <c r="AC192" s="8"/>
    </row>
    <row r="193" spans="2:29" ht="15" x14ac:dyDescent="0.2">
      <c r="B193" s="8"/>
      <c r="K193" s="8"/>
      <c r="T193" s="8"/>
      <c r="AC193" s="8"/>
    </row>
    <row r="194" spans="2:29" ht="15" x14ac:dyDescent="0.2">
      <c r="B194" s="8"/>
      <c r="K194" s="8"/>
      <c r="T194" s="8"/>
      <c r="AC194" s="8"/>
    </row>
    <row r="195" spans="2:29" ht="15" x14ac:dyDescent="0.2">
      <c r="B195" s="8"/>
      <c r="K195" s="8"/>
      <c r="T195" s="8"/>
      <c r="AC195" s="8"/>
    </row>
    <row r="196" spans="2:29" ht="15" x14ac:dyDescent="0.2">
      <c r="B196" s="8"/>
      <c r="K196" s="8"/>
      <c r="T196" s="8"/>
      <c r="AC196" s="8"/>
    </row>
    <row r="197" spans="2:29" ht="15" x14ac:dyDescent="0.2">
      <c r="B197" s="8"/>
      <c r="K197" s="8"/>
      <c r="T197" s="8"/>
      <c r="AC197" s="8"/>
    </row>
    <row r="198" spans="2:29" ht="15" x14ac:dyDescent="0.2">
      <c r="B198" s="8"/>
      <c r="K198" s="8"/>
      <c r="T198" s="8"/>
      <c r="AC198" s="8"/>
    </row>
    <row r="199" spans="2:29" ht="15" x14ac:dyDescent="0.2">
      <c r="B199" s="8"/>
      <c r="K199" s="8"/>
      <c r="T199" s="8"/>
      <c r="AC199" s="8"/>
    </row>
    <row r="200" spans="2:29" ht="15" x14ac:dyDescent="0.2">
      <c r="B200" s="8"/>
      <c r="K200" s="8"/>
      <c r="T200" s="8"/>
      <c r="AC200" s="8"/>
    </row>
    <row r="201" spans="2:29" ht="15" x14ac:dyDescent="0.2">
      <c r="B201" s="8"/>
      <c r="K201" s="8"/>
      <c r="T201" s="8"/>
      <c r="AC201" s="8"/>
    </row>
    <row r="202" spans="2:29" ht="15" x14ac:dyDescent="0.2">
      <c r="B202" s="8"/>
      <c r="K202" s="8"/>
      <c r="T202" s="8"/>
      <c r="AC202" s="8"/>
    </row>
    <row r="203" spans="2:29" ht="15" x14ac:dyDescent="0.2">
      <c r="B203" s="8"/>
      <c r="K203" s="8"/>
      <c r="T203" s="8"/>
      <c r="AC203" s="8"/>
    </row>
    <row r="204" spans="2:29" ht="15" x14ac:dyDescent="0.2">
      <c r="B204" s="8"/>
      <c r="K204" s="8"/>
      <c r="T204" s="8"/>
      <c r="AC204" s="8"/>
    </row>
    <row r="205" spans="2:29" ht="15" x14ac:dyDescent="0.2">
      <c r="B205" s="8"/>
      <c r="K205" s="8"/>
      <c r="T205" s="8"/>
      <c r="AC205" s="8"/>
    </row>
    <row r="206" spans="2:29" ht="15" x14ac:dyDescent="0.2">
      <c r="B206" s="8"/>
      <c r="K206" s="8"/>
      <c r="T206" s="8"/>
      <c r="AC206" s="8"/>
    </row>
    <row r="207" spans="2:29" ht="15" x14ac:dyDescent="0.2">
      <c r="B207" s="8"/>
      <c r="K207" s="8"/>
      <c r="T207" s="8"/>
      <c r="AC207" s="8"/>
    </row>
    <row r="208" spans="2:29" ht="15" x14ac:dyDescent="0.2">
      <c r="B208" s="8"/>
      <c r="K208" s="8"/>
      <c r="T208" s="8"/>
      <c r="AC208" s="8"/>
    </row>
    <row r="209" spans="2:29" ht="15" x14ac:dyDescent="0.2">
      <c r="B209" s="8"/>
      <c r="K209" s="8"/>
      <c r="T209" s="8"/>
      <c r="AC209" s="8"/>
    </row>
    <row r="210" spans="2:29" ht="15" x14ac:dyDescent="0.2">
      <c r="B210" s="8"/>
      <c r="K210" s="8"/>
      <c r="T210" s="8"/>
      <c r="AC210" s="8"/>
    </row>
    <row r="211" spans="2:29" ht="15" x14ac:dyDescent="0.2">
      <c r="B211" s="8"/>
      <c r="K211" s="8"/>
      <c r="T211" s="8"/>
      <c r="AC211" s="8"/>
    </row>
    <row r="212" spans="2:29" ht="15" x14ac:dyDescent="0.2">
      <c r="B212" s="8"/>
      <c r="K212" s="8"/>
      <c r="T212" s="8"/>
      <c r="AC212" s="8"/>
    </row>
    <row r="213" spans="2:29" ht="15" x14ac:dyDescent="0.2">
      <c r="B213" s="8"/>
      <c r="K213" s="8"/>
      <c r="T213" s="8"/>
      <c r="AC213" s="8"/>
    </row>
    <row r="214" spans="2:29" ht="15" x14ac:dyDescent="0.2">
      <c r="B214" s="8"/>
      <c r="K214" s="8"/>
      <c r="T214" s="8"/>
      <c r="AC214" s="8"/>
    </row>
    <row r="215" spans="2:29" ht="15" x14ac:dyDescent="0.2">
      <c r="B215" s="8"/>
      <c r="K215" s="8"/>
      <c r="T215" s="8"/>
      <c r="AC215" s="8"/>
    </row>
    <row r="216" spans="2:29" ht="15" x14ac:dyDescent="0.2">
      <c r="B216" s="8"/>
      <c r="K216" s="8"/>
      <c r="T216" s="8"/>
      <c r="AC216" s="8"/>
    </row>
    <row r="217" spans="2:29" ht="15" x14ac:dyDescent="0.2">
      <c r="B217" s="8"/>
      <c r="K217" s="8"/>
      <c r="T217" s="8"/>
      <c r="AC217" s="8"/>
    </row>
    <row r="218" spans="2:29" ht="15" x14ac:dyDescent="0.2">
      <c r="B218" s="8"/>
      <c r="K218" s="8"/>
      <c r="T218" s="8"/>
      <c r="AC218" s="8"/>
    </row>
    <row r="219" spans="2:29" ht="15" x14ac:dyDescent="0.2">
      <c r="B219" s="8"/>
      <c r="K219" s="8"/>
      <c r="T219" s="8"/>
      <c r="AC219" s="8"/>
    </row>
    <row r="220" spans="2:29" ht="15" x14ac:dyDescent="0.2">
      <c r="B220" s="8"/>
      <c r="K220" s="8"/>
      <c r="T220" s="8"/>
      <c r="AC220" s="8"/>
    </row>
    <row r="221" spans="2:29" ht="15" x14ac:dyDescent="0.2">
      <c r="B221" s="8"/>
      <c r="K221" s="8"/>
      <c r="T221" s="8"/>
      <c r="AC221" s="8"/>
    </row>
    <row r="222" spans="2:29" ht="15" x14ac:dyDescent="0.2">
      <c r="B222" s="8"/>
      <c r="K222" s="8"/>
      <c r="T222" s="8"/>
      <c r="AC222" s="8"/>
    </row>
    <row r="223" spans="2:29" ht="15" x14ac:dyDescent="0.2">
      <c r="B223" s="8"/>
      <c r="K223" s="8"/>
      <c r="T223" s="8"/>
      <c r="AC223" s="8"/>
    </row>
    <row r="224" spans="2:29" ht="15" x14ac:dyDescent="0.2">
      <c r="B224" s="8"/>
      <c r="K224" s="8"/>
      <c r="T224" s="8"/>
      <c r="AC224" s="8"/>
    </row>
    <row r="225" spans="2:29" ht="15" x14ac:dyDescent="0.2">
      <c r="B225" s="8"/>
      <c r="K225" s="8"/>
      <c r="T225" s="8"/>
      <c r="AC225" s="8"/>
    </row>
    <row r="226" spans="2:29" ht="15" x14ac:dyDescent="0.2">
      <c r="B226" s="8"/>
      <c r="K226" s="8"/>
      <c r="T226" s="8"/>
      <c r="AC226" s="8"/>
    </row>
    <row r="227" spans="2:29" ht="15" x14ac:dyDescent="0.2">
      <c r="B227" s="8"/>
      <c r="K227" s="8"/>
      <c r="T227" s="8"/>
      <c r="AC227" s="8"/>
    </row>
    <row r="228" spans="2:29" ht="15" x14ac:dyDescent="0.2">
      <c r="B228" s="8"/>
      <c r="K228" s="8"/>
      <c r="T228" s="8"/>
      <c r="AC228" s="8"/>
    </row>
    <row r="229" spans="2:29" ht="15" x14ac:dyDescent="0.2">
      <c r="B229" s="8"/>
      <c r="K229" s="8"/>
      <c r="T229" s="8"/>
      <c r="AC229" s="8"/>
    </row>
    <row r="230" spans="2:29" ht="15" x14ac:dyDescent="0.2">
      <c r="B230" s="8"/>
      <c r="K230" s="8"/>
      <c r="T230" s="8"/>
      <c r="AC230" s="8"/>
    </row>
    <row r="231" spans="2:29" ht="15" x14ac:dyDescent="0.2">
      <c r="B231" s="8"/>
      <c r="K231" s="8"/>
      <c r="T231" s="8"/>
      <c r="AC231" s="8"/>
    </row>
    <row r="232" spans="2:29" ht="15" x14ac:dyDescent="0.2">
      <c r="B232" s="8"/>
      <c r="K232" s="8"/>
      <c r="T232" s="8"/>
      <c r="AC232" s="8"/>
    </row>
    <row r="233" spans="2:29" ht="15" x14ac:dyDescent="0.2">
      <c r="B233" s="8"/>
      <c r="K233" s="8"/>
      <c r="T233" s="8"/>
      <c r="AC233" s="8"/>
    </row>
    <row r="234" spans="2:29" ht="15" x14ac:dyDescent="0.2">
      <c r="B234" s="8"/>
      <c r="K234" s="8"/>
      <c r="T234" s="8"/>
      <c r="AC234" s="8"/>
    </row>
    <row r="235" spans="2:29" ht="15" x14ac:dyDescent="0.2">
      <c r="B235" s="8"/>
      <c r="K235" s="8"/>
      <c r="T235" s="8"/>
      <c r="AC235" s="8"/>
    </row>
    <row r="236" spans="2:29" ht="15" x14ac:dyDescent="0.2">
      <c r="B236" s="8"/>
      <c r="K236" s="8"/>
      <c r="T236" s="8"/>
      <c r="AC236" s="8"/>
    </row>
    <row r="237" spans="2:29" ht="15" x14ac:dyDescent="0.2">
      <c r="B237" s="8"/>
      <c r="K237" s="8"/>
      <c r="T237" s="8"/>
      <c r="AC237" s="8"/>
    </row>
    <row r="238" spans="2:29" ht="15" x14ac:dyDescent="0.2">
      <c r="B238" s="8"/>
      <c r="K238" s="8"/>
      <c r="T238" s="8"/>
      <c r="AC238" s="8"/>
    </row>
    <row r="239" spans="2:29" ht="15" x14ac:dyDescent="0.2">
      <c r="B239" s="8"/>
      <c r="K239" s="8"/>
      <c r="T239" s="8"/>
      <c r="AC239" s="8"/>
    </row>
    <row r="240" spans="2:29" ht="15" x14ac:dyDescent="0.2">
      <c r="B240" s="8"/>
      <c r="K240" s="8"/>
      <c r="T240" s="8"/>
      <c r="AC240" s="8"/>
    </row>
    <row r="241" spans="2:29" ht="15" x14ac:dyDescent="0.2">
      <c r="B241" s="8"/>
      <c r="K241" s="8"/>
      <c r="T241" s="8"/>
      <c r="AC241" s="8"/>
    </row>
    <row r="242" spans="2:29" ht="15" x14ac:dyDescent="0.2">
      <c r="B242" s="8"/>
      <c r="K242" s="8"/>
      <c r="T242" s="8"/>
      <c r="AC242" s="8"/>
    </row>
    <row r="243" spans="2:29" ht="15" x14ac:dyDescent="0.2">
      <c r="B243" s="8"/>
      <c r="K243" s="8"/>
      <c r="T243" s="8"/>
      <c r="AC243" s="8"/>
    </row>
    <row r="244" spans="2:29" ht="15" x14ac:dyDescent="0.2">
      <c r="B244" s="8"/>
      <c r="K244" s="8"/>
      <c r="T244" s="8"/>
      <c r="AC244" s="8"/>
    </row>
    <row r="245" spans="2:29" ht="15" x14ac:dyDescent="0.2">
      <c r="B245" s="8"/>
      <c r="K245" s="8"/>
      <c r="T245" s="8"/>
      <c r="AC245" s="8"/>
    </row>
    <row r="246" spans="2:29" ht="15" x14ac:dyDescent="0.2">
      <c r="B246" s="8"/>
      <c r="K246" s="8"/>
      <c r="T246" s="8"/>
      <c r="AC246" s="8"/>
    </row>
    <row r="247" spans="2:29" ht="15" x14ac:dyDescent="0.2">
      <c r="B247" s="8"/>
      <c r="K247" s="8"/>
      <c r="T247" s="8"/>
      <c r="AC247" s="8"/>
    </row>
    <row r="248" spans="2:29" ht="15" x14ac:dyDescent="0.2">
      <c r="B248" s="8"/>
      <c r="K248" s="8"/>
      <c r="T248" s="8"/>
      <c r="AC248" s="8"/>
    </row>
    <row r="249" spans="2:29" ht="15" x14ac:dyDescent="0.2">
      <c r="B249" s="8"/>
      <c r="K249" s="8"/>
      <c r="T249" s="8"/>
      <c r="AC249" s="8"/>
    </row>
    <row r="250" spans="2:29" ht="15" x14ac:dyDescent="0.2">
      <c r="B250" s="8"/>
      <c r="K250" s="8"/>
      <c r="T250" s="8"/>
      <c r="AC250" s="8"/>
    </row>
    <row r="251" spans="2:29" ht="15" x14ac:dyDescent="0.2">
      <c r="B251" s="8"/>
      <c r="K251" s="8"/>
      <c r="T251" s="8"/>
      <c r="AC251" s="8"/>
    </row>
    <row r="252" spans="2:29" ht="15" x14ac:dyDescent="0.2">
      <c r="B252" s="8"/>
      <c r="K252" s="8"/>
      <c r="T252" s="8"/>
      <c r="AC252" s="8"/>
    </row>
    <row r="253" spans="2:29" ht="15" x14ac:dyDescent="0.2">
      <c r="B253" s="8"/>
      <c r="K253" s="8"/>
      <c r="T253" s="8"/>
      <c r="AC253" s="8"/>
    </row>
    <row r="254" spans="2:29" ht="15" x14ac:dyDescent="0.2">
      <c r="B254" s="8"/>
      <c r="K254" s="8"/>
      <c r="T254" s="8"/>
      <c r="AC254" s="8"/>
    </row>
    <row r="255" spans="2:29" ht="15" x14ac:dyDescent="0.2">
      <c r="B255" s="8"/>
      <c r="K255" s="8"/>
      <c r="T255" s="8"/>
      <c r="AC255" s="8"/>
    </row>
    <row r="256" spans="2:29" ht="15" x14ac:dyDescent="0.2">
      <c r="B256" s="8"/>
      <c r="K256" s="8"/>
      <c r="T256" s="8"/>
      <c r="AC256" s="8"/>
    </row>
    <row r="257" spans="2:29" ht="15" x14ac:dyDescent="0.2">
      <c r="B257" s="8"/>
      <c r="K257" s="8"/>
      <c r="T257" s="8"/>
      <c r="AC257" s="8"/>
    </row>
    <row r="258" spans="2:29" ht="15" x14ac:dyDescent="0.2">
      <c r="B258" s="8"/>
      <c r="K258" s="8"/>
      <c r="T258" s="8"/>
      <c r="AC258" s="8"/>
    </row>
    <row r="259" spans="2:29" ht="15" x14ac:dyDescent="0.2">
      <c r="B259" s="8"/>
      <c r="K259" s="8"/>
      <c r="T259" s="8"/>
      <c r="AC259" s="8"/>
    </row>
    <row r="260" spans="2:29" ht="15" x14ac:dyDescent="0.2">
      <c r="B260" s="8"/>
      <c r="K260" s="8"/>
      <c r="T260" s="8"/>
      <c r="AC260" s="8"/>
    </row>
    <row r="261" spans="2:29" ht="15" x14ac:dyDescent="0.2">
      <c r="B261" s="8"/>
      <c r="K261" s="8"/>
      <c r="T261" s="8"/>
      <c r="AC261" s="8"/>
    </row>
    <row r="262" spans="2:29" ht="15" x14ac:dyDescent="0.2">
      <c r="B262" s="8"/>
      <c r="K262" s="8"/>
      <c r="T262" s="8"/>
      <c r="AC262" s="8"/>
    </row>
    <row r="263" spans="2:29" ht="15" x14ac:dyDescent="0.2">
      <c r="B263" s="8"/>
      <c r="K263" s="8"/>
      <c r="T263" s="8"/>
      <c r="AC263" s="8"/>
    </row>
    <row r="264" spans="2:29" ht="15" x14ac:dyDescent="0.2">
      <c r="B264" s="8"/>
      <c r="K264" s="8"/>
      <c r="T264" s="8"/>
      <c r="AC264" s="8"/>
    </row>
    <row r="265" spans="2:29" ht="15" x14ac:dyDescent="0.2">
      <c r="B265" s="8"/>
      <c r="K265" s="8"/>
      <c r="T265" s="8"/>
      <c r="AC265" s="8"/>
    </row>
    <row r="266" spans="2:29" ht="15" x14ac:dyDescent="0.2">
      <c r="B266" s="8"/>
      <c r="K266" s="8"/>
      <c r="T266" s="8"/>
      <c r="AC266" s="8"/>
    </row>
    <row r="267" spans="2:29" ht="15" x14ac:dyDescent="0.2">
      <c r="B267" s="8"/>
      <c r="K267" s="8"/>
      <c r="T267" s="8"/>
      <c r="AC267" s="8"/>
    </row>
    <row r="268" spans="2:29" ht="15" x14ac:dyDescent="0.2">
      <c r="B268" s="8"/>
      <c r="K268" s="8"/>
      <c r="T268" s="8"/>
      <c r="AC268" s="8"/>
    </row>
    <row r="269" spans="2:29" ht="15" x14ac:dyDescent="0.2">
      <c r="B269" s="8"/>
      <c r="K269" s="8"/>
      <c r="T269" s="8"/>
      <c r="AC269" s="8"/>
    </row>
    <row r="270" spans="2:29" ht="15" x14ac:dyDescent="0.2">
      <c r="B270" s="8"/>
      <c r="K270" s="8"/>
      <c r="T270" s="8"/>
      <c r="AC270" s="8"/>
    </row>
    <row r="271" spans="2:29" ht="15" x14ac:dyDescent="0.2">
      <c r="B271" s="8"/>
      <c r="K271" s="8"/>
      <c r="T271" s="8"/>
      <c r="AC271" s="8"/>
    </row>
    <row r="272" spans="2:29" ht="15" x14ac:dyDescent="0.2">
      <c r="B272" s="8"/>
      <c r="K272" s="8"/>
      <c r="T272" s="8"/>
      <c r="AC272" s="8"/>
    </row>
    <row r="273" spans="2:29" ht="15" x14ac:dyDescent="0.2">
      <c r="B273" s="8"/>
      <c r="K273" s="8"/>
      <c r="T273" s="8"/>
      <c r="AC273" s="8"/>
    </row>
    <row r="274" spans="2:29" ht="15" x14ac:dyDescent="0.2">
      <c r="B274" s="8"/>
      <c r="K274" s="8"/>
      <c r="T274" s="8"/>
      <c r="AC274" s="8"/>
    </row>
    <row r="275" spans="2:29" ht="15" x14ac:dyDescent="0.2">
      <c r="B275" s="8"/>
      <c r="K275" s="8"/>
      <c r="T275" s="8"/>
      <c r="AC275" s="8"/>
    </row>
    <row r="276" spans="2:29" ht="15" x14ac:dyDescent="0.2">
      <c r="B276" s="8"/>
      <c r="K276" s="8"/>
      <c r="T276" s="8"/>
      <c r="AC276" s="8"/>
    </row>
    <row r="277" spans="2:29" ht="15" x14ac:dyDescent="0.2">
      <c r="B277" s="8"/>
      <c r="K277" s="8"/>
      <c r="T277" s="8"/>
      <c r="AC277" s="8"/>
    </row>
    <row r="278" spans="2:29" ht="15" x14ac:dyDescent="0.2">
      <c r="B278" s="8"/>
      <c r="K278" s="8"/>
      <c r="T278" s="8"/>
      <c r="AC278" s="8"/>
    </row>
    <row r="279" spans="2:29" ht="15" x14ac:dyDescent="0.2">
      <c r="B279" s="8"/>
      <c r="K279" s="8"/>
      <c r="T279" s="8"/>
      <c r="AC279" s="8"/>
    </row>
    <row r="280" spans="2:29" ht="15" x14ac:dyDescent="0.2">
      <c r="B280" s="8"/>
      <c r="K280" s="8"/>
      <c r="T280" s="8"/>
      <c r="AC280" s="8"/>
    </row>
    <row r="281" spans="2:29" ht="15" x14ac:dyDescent="0.2">
      <c r="B281" s="8"/>
      <c r="K281" s="8"/>
      <c r="T281" s="8"/>
      <c r="AC281" s="8"/>
    </row>
    <row r="282" spans="2:29" ht="15" x14ac:dyDescent="0.2">
      <c r="B282" s="8"/>
      <c r="K282" s="8"/>
      <c r="T282" s="8"/>
      <c r="AC282" s="8"/>
    </row>
    <row r="283" spans="2:29" ht="15" x14ac:dyDescent="0.2">
      <c r="B283" s="8"/>
      <c r="K283" s="8"/>
      <c r="T283" s="8"/>
      <c r="AC283" s="8"/>
    </row>
    <row r="284" spans="2:29" ht="15" x14ac:dyDescent="0.2">
      <c r="B284" s="8"/>
      <c r="K284" s="8"/>
      <c r="T284" s="8"/>
      <c r="AC284" s="8"/>
    </row>
    <row r="285" spans="2:29" ht="15" x14ac:dyDescent="0.2">
      <c r="B285" s="8"/>
      <c r="K285" s="8"/>
      <c r="T285" s="8"/>
      <c r="AC285" s="8"/>
    </row>
    <row r="286" spans="2:29" ht="15" x14ac:dyDescent="0.2">
      <c r="B286" s="8"/>
      <c r="K286" s="8"/>
      <c r="T286" s="8"/>
      <c r="AC286" s="8"/>
    </row>
    <row r="287" spans="2:29" ht="15" x14ac:dyDescent="0.2">
      <c r="B287" s="8"/>
      <c r="K287" s="8"/>
      <c r="T287" s="8"/>
      <c r="AC287" s="8"/>
    </row>
    <row r="288" spans="2:29" ht="15" x14ac:dyDescent="0.2">
      <c r="B288" s="8"/>
      <c r="K288" s="8"/>
      <c r="T288" s="8"/>
      <c r="AC288" s="8"/>
    </row>
    <row r="289" spans="2:29" ht="15" x14ac:dyDescent="0.2">
      <c r="B289" s="8"/>
      <c r="K289" s="8"/>
      <c r="T289" s="8"/>
      <c r="AC289" s="8"/>
    </row>
    <row r="290" spans="2:29" ht="15" x14ac:dyDescent="0.2">
      <c r="B290" s="8"/>
      <c r="K290" s="8"/>
      <c r="T290" s="8"/>
      <c r="AC290" s="8"/>
    </row>
    <row r="291" spans="2:29" ht="15" x14ac:dyDescent="0.2">
      <c r="B291" s="8"/>
      <c r="K291" s="8"/>
      <c r="T291" s="8"/>
      <c r="AC291" s="8"/>
    </row>
    <row r="292" spans="2:29" ht="15" x14ac:dyDescent="0.2">
      <c r="B292" s="8"/>
      <c r="K292" s="8"/>
      <c r="T292" s="8"/>
      <c r="AC292" s="8"/>
    </row>
    <row r="293" spans="2:29" ht="15" x14ac:dyDescent="0.2">
      <c r="B293" s="8"/>
      <c r="K293" s="8"/>
      <c r="T293" s="8"/>
      <c r="AC293" s="8"/>
    </row>
    <row r="294" spans="2:29" ht="15" x14ac:dyDescent="0.2">
      <c r="B294" s="8"/>
      <c r="K294" s="8"/>
      <c r="T294" s="8"/>
      <c r="AC294" s="8"/>
    </row>
    <row r="295" spans="2:29" ht="15" x14ac:dyDescent="0.2">
      <c r="B295" s="8"/>
      <c r="K295" s="8"/>
      <c r="T295" s="8"/>
      <c r="AC295" s="8"/>
    </row>
    <row r="296" spans="2:29" ht="15" x14ac:dyDescent="0.2">
      <c r="B296" s="8"/>
      <c r="K296" s="8"/>
      <c r="T296" s="8"/>
      <c r="AC296" s="8"/>
    </row>
    <row r="297" spans="2:29" ht="15" x14ac:dyDescent="0.2">
      <c r="B297" s="8"/>
      <c r="K297" s="8"/>
      <c r="T297" s="8"/>
      <c r="AC297" s="8"/>
    </row>
    <row r="298" spans="2:29" ht="15" x14ac:dyDescent="0.2">
      <c r="B298" s="8"/>
      <c r="K298" s="8"/>
      <c r="T298" s="8"/>
      <c r="AC298" s="8"/>
    </row>
    <row r="299" spans="2:29" ht="15" x14ac:dyDescent="0.2">
      <c r="B299" s="8"/>
      <c r="K299" s="8"/>
      <c r="T299" s="8"/>
      <c r="AC299" s="8"/>
    </row>
    <row r="300" spans="2:29" ht="15" x14ac:dyDescent="0.2">
      <c r="B300" s="8"/>
      <c r="K300" s="8"/>
      <c r="T300" s="8"/>
      <c r="AC300" s="8"/>
    </row>
    <row r="301" spans="2:29" ht="15" x14ac:dyDescent="0.2">
      <c r="B301" s="8"/>
      <c r="K301" s="8"/>
      <c r="T301" s="8"/>
      <c r="AC301" s="8"/>
    </row>
    <row r="302" spans="2:29" ht="15" x14ac:dyDescent="0.2">
      <c r="B302" s="8"/>
      <c r="K302" s="8"/>
      <c r="T302" s="8"/>
      <c r="AC302" s="8"/>
    </row>
    <row r="303" spans="2:29" ht="15" x14ac:dyDescent="0.2">
      <c r="B303" s="8"/>
      <c r="K303" s="8"/>
      <c r="T303" s="8"/>
      <c r="AC303" s="8"/>
    </row>
    <row r="304" spans="2:29" ht="15" x14ac:dyDescent="0.2">
      <c r="B304" s="8"/>
      <c r="K304" s="8"/>
      <c r="T304" s="8"/>
      <c r="AC304" s="8"/>
    </row>
    <row r="305" spans="2:29" ht="15" x14ac:dyDescent="0.2">
      <c r="B305" s="8"/>
      <c r="K305" s="8"/>
      <c r="T305" s="8"/>
      <c r="AC305" s="8"/>
    </row>
    <row r="306" spans="2:29" ht="15" x14ac:dyDescent="0.2">
      <c r="B306" s="8"/>
      <c r="K306" s="8"/>
      <c r="T306" s="8"/>
      <c r="AC306" s="8"/>
    </row>
    <row r="307" spans="2:29" ht="15" x14ac:dyDescent="0.2">
      <c r="B307" s="8"/>
      <c r="K307" s="8"/>
      <c r="T307" s="8"/>
      <c r="AC307" s="8"/>
    </row>
    <row r="308" spans="2:29" ht="15" x14ac:dyDescent="0.2">
      <c r="B308" s="8"/>
      <c r="K308" s="8"/>
      <c r="T308" s="8"/>
      <c r="AC308" s="8"/>
    </row>
    <row r="309" spans="2:29" ht="15" x14ac:dyDescent="0.2">
      <c r="B309" s="8"/>
      <c r="K309" s="8"/>
      <c r="T309" s="8"/>
      <c r="AC309" s="8"/>
    </row>
    <row r="310" spans="2:29" ht="15" x14ac:dyDescent="0.2">
      <c r="B310" s="8"/>
      <c r="K310" s="8"/>
      <c r="T310" s="8"/>
      <c r="AC310" s="8"/>
    </row>
    <row r="311" spans="2:29" ht="15" x14ac:dyDescent="0.2">
      <c r="B311" s="8"/>
      <c r="K311" s="8"/>
      <c r="T311" s="8"/>
      <c r="AC311" s="8"/>
    </row>
    <row r="312" spans="2:29" ht="15" x14ac:dyDescent="0.2">
      <c r="B312" s="8"/>
      <c r="K312" s="8"/>
      <c r="T312" s="8"/>
      <c r="AC312" s="8"/>
    </row>
    <row r="313" spans="2:29" ht="15" x14ac:dyDescent="0.2">
      <c r="B313" s="8"/>
      <c r="K313" s="8"/>
      <c r="T313" s="8"/>
      <c r="AC313" s="8"/>
    </row>
    <row r="314" spans="2:29" ht="15" x14ac:dyDescent="0.2">
      <c r="B314" s="8"/>
      <c r="K314" s="8"/>
      <c r="T314" s="8"/>
      <c r="AC314" s="8"/>
    </row>
    <row r="315" spans="2:29" ht="15" x14ac:dyDescent="0.2">
      <c r="B315" s="8"/>
      <c r="K315" s="8"/>
      <c r="T315" s="8"/>
      <c r="AC315" s="8"/>
    </row>
    <row r="316" spans="2:29" ht="15" x14ac:dyDescent="0.2">
      <c r="B316" s="8"/>
      <c r="K316" s="8"/>
      <c r="T316" s="8"/>
      <c r="AC316" s="8"/>
    </row>
    <row r="317" spans="2:29" ht="15" x14ac:dyDescent="0.2">
      <c r="B317" s="8"/>
      <c r="K317" s="8"/>
      <c r="T317" s="8"/>
      <c r="AC317" s="8"/>
    </row>
    <row r="318" spans="2:29" ht="15" x14ac:dyDescent="0.2">
      <c r="B318" s="8"/>
      <c r="K318" s="8"/>
      <c r="T318" s="8"/>
      <c r="AC318" s="8"/>
    </row>
    <row r="319" spans="2:29" ht="15" x14ac:dyDescent="0.2">
      <c r="B319" s="8"/>
      <c r="K319" s="8"/>
      <c r="T319" s="8"/>
      <c r="AC319" s="8"/>
    </row>
    <row r="320" spans="2:29" ht="15" x14ac:dyDescent="0.2">
      <c r="B320" s="8"/>
      <c r="K320" s="8"/>
      <c r="T320" s="8"/>
      <c r="AC320" s="8"/>
    </row>
    <row r="321" spans="2:29" ht="15" x14ac:dyDescent="0.2">
      <c r="B321" s="8"/>
      <c r="K321" s="8"/>
      <c r="T321" s="8"/>
      <c r="AC321" s="8"/>
    </row>
    <row r="322" spans="2:29" ht="15" x14ac:dyDescent="0.2">
      <c r="B322" s="8"/>
      <c r="K322" s="8"/>
      <c r="T322" s="8"/>
      <c r="AC322" s="8"/>
    </row>
    <row r="323" spans="2:29" ht="15" x14ac:dyDescent="0.2">
      <c r="B323" s="8"/>
      <c r="K323" s="8"/>
      <c r="T323" s="8"/>
      <c r="AC323" s="8"/>
    </row>
    <row r="324" spans="2:29" ht="15" x14ac:dyDescent="0.2">
      <c r="B324" s="8"/>
      <c r="K324" s="8"/>
      <c r="T324" s="8"/>
      <c r="AC324" s="8"/>
    </row>
    <row r="325" spans="2:29" ht="15" x14ac:dyDescent="0.2">
      <c r="B325" s="8"/>
      <c r="K325" s="8"/>
      <c r="T325" s="8"/>
      <c r="AC325" s="8"/>
    </row>
    <row r="326" spans="2:29" ht="15" x14ac:dyDescent="0.2">
      <c r="B326" s="8"/>
      <c r="K326" s="8"/>
      <c r="T326" s="8"/>
      <c r="AC326" s="8"/>
    </row>
    <row r="327" spans="2:29" ht="15" x14ac:dyDescent="0.2">
      <c r="B327" s="8"/>
      <c r="K327" s="8"/>
      <c r="T327" s="8"/>
      <c r="AC327" s="8"/>
    </row>
    <row r="328" spans="2:29" ht="15" x14ac:dyDescent="0.2">
      <c r="B328" s="8"/>
      <c r="K328" s="8"/>
      <c r="T328" s="8"/>
      <c r="AC328" s="8"/>
    </row>
    <row r="329" spans="2:29" ht="15" x14ac:dyDescent="0.2">
      <c r="B329" s="8"/>
      <c r="K329" s="8"/>
      <c r="T329" s="8"/>
      <c r="AC329" s="8"/>
    </row>
    <row r="330" spans="2:29" ht="15" x14ac:dyDescent="0.2">
      <c r="B330" s="8"/>
      <c r="K330" s="8"/>
      <c r="T330" s="8"/>
      <c r="AC330" s="8"/>
    </row>
    <row r="331" spans="2:29" ht="15" x14ac:dyDescent="0.2">
      <c r="B331" s="8"/>
      <c r="K331" s="8"/>
      <c r="T331" s="8"/>
      <c r="AC331" s="8"/>
    </row>
    <row r="332" spans="2:29" ht="15" x14ac:dyDescent="0.2">
      <c r="B332" s="8"/>
      <c r="K332" s="8"/>
      <c r="T332" s="8"/>
      <c r="AC332" s="8"/>
    </row>
    <row r="333" spans="2:29" ht="15" x14ac:dyDescent="0.2">
      <c r="B333" s="8"/>
      <c r="K333" s="8"/>
      <c r="T333" s="8"/>
      <c r="AC333" s="8"/>
    </row>
    <row r="334" spans="2:29" ht="15" x14ac:dyDescent="0.2">
      <c r="B334" s="8"/>
      <c r="K334" s="8"/>
      <c r="T334" s="8"/>
      <c r="AC334" s="8"/>
    </row>
    <row r="335" spans="2:29" ht="15" x14ac:dyDescent="0.2">
      <c r="B335" s="8"/>
      <c r="K335" s="8"/>
      <c r="T335" s="8"/>
      <c r="AC335" s="8"/>
    </row>
    <row r="336" spans="2:29" ht="15" x14ac:dyDescent="0.2">
      <c r="B336" s="8"/>
      <c r="K336" s="8"/>
      <c r="T336" s="8"/>
      <c r="AC336" s="8"/>
    </row>
    <row r="337" spans="2:29" ht="15" x14ac:dyDescent="0.2">
      <c r="B337" s="8"/>
      <c r="K337" s="8"/>
      <c r="T337" s="8"/>
      <c r="AC337" s="8"/>
    </row>
    <row r="338" spans="2:29" ht="15" x14ac:dyDescent="0.2">
      <c r="B338" s="8"/>
      <c r="K338" s="8"/>
      <c r="T338" s="8"/>
      <c r="AC338" s="8"/>
    </row>
    <row r="339" spans="2:29" ht="15" x14ac:dyDescent="0.2">
      <c r="B339" s="8"/>
      <c r="K339" s="8"/>
      <c r="T339" s="8"/>
      <c r="AC339" s="8"/>
    </row>
    <row r="340" spans="2:29" ht="15" x14ac:dyDescent="0.2">
      <c r="B340" s="8"/>
      <c r="K340" s="8"/>
      <c r="T340" s="8"/>
      <c r="AC340" s="8"/>
    </row>
    <row r="341" spans="2:29" ht="15" x14ac:dyDescent="0.2">
      <c r="B341" s="8"/>
      <c r="K341" s="8"/>
      <c r="T341" s="8"/>
      <c r="AC341" s="8"/>
    </row>
    <row r="342" spans="2:29" ht="15" x14ac:dyDescent="0.2">
      <c r="B342" s="8"/>
      <c r="K342" s="8"/>
      <c r="T342" s="8"/>
      <c r="AC342" s="8"/>
    </row>
    <row r="343" spans="2:29" ht="15" x14ac:dyDescent="0.2">
      <c r="B343" s="8"/>
      <c r="K343" s="8"/>
      <c r="T343" s="8"/>
      <c r="AC343" s="8"/>
    </row>
    <row r="344" spans="2:29" ht="15" x14ac:dyDescent="0.2">
      <c r="B344" s="8"/>
      <c r="K344" s="8"/>
      <c r="T344" s="8"/>
      <c r="AC344" s="8"/>
    </row>
    <row r="345" spans="2:29" ht="15" x14ac:dyDescent="0.2">
      <c r="B345" s="8"/>
      <c r="K345" s="8"/>
      <c r="T345" s="8"/>
      <c r="AC345" s="8"/>
    </row>
    <row r="346" spans="2:29" ht="15" x14ac:dyDescent="0.2">
      <c r="B346" s="8"/>
      <c r="K346" s="8"/>
      <c r="T346" s="8"/>
      <c r="AC346" s="8"/>
    </row>
    <row r="347" spans="2:29" ht="15" x14ac:dyDescent="0.2">
      <c r="B347" s="8"/>
      <c r="K347" s="8"/>
      <c r="T347" s="8"/>
      <c r="AC347" s="8"/>
    </row>
    <row r="348" spans="2:29" ht="15" x14ac:dyDescent="0.2">
      <c r="B348" s="8"/>
      <c r="K348" s="8"/>
      <c r="T348" s="8"/>
      <c r="AC348" s="8"/>
    </row>
    <row r="349" spans="2:29" ht="15" x14ac:dyDescent="0.2">
      <c r="B349" s="8"/>
      <c r="K349" s="8"/>
      <c r="T349" s="8"/>
      <c r="AC349" s="8"/>
    </row>
    <row r="350" spans="2:29" ht="15" x14ac:dyDescent="0.2">
      <c r="B350" s="8"/>
      <c r="K350" s="8"/>
      <c r="T350" s="8"/>
      <c r="AC350" s="8"/>
    </row>
    <row r="351" spans="2:29" ht="15" x14ac:dyDescent="0.2">
      <c r="B351" s="8"/>
      <c r="K351" s="8"/>
      <c r="T351" s="8"/>
      <c r="AC351" s="8"/>
    </row>
    <row r="352" spans="2:29" ht="15" x14ac:dyDescent="0.2">
      <c r="B352" s="8"/>
      <c r="K352" s="8"/>
      <c r="T352" s="8"/>
      <c r="AC352" s="8"/>
    </row>
    <row r="353" spans="2:29" ht="15" x14ac:dyDescent="0.2">
      <c r="B353" s="8"/>
      <c r="K353" s="8"/>
      <c r="T353" s="8"/>
      <c r="AC353" s="8"/>
    </row>
    <row r="354" spans="2:29" ht="15" x14ac:dyDescent="0.2">
      <c r="B354" s="8"/>
      <c r="K354" s="8"/>
      <c r="T354" s="8"/>
      <c r="AC354" s="8"/>
    </row>
    <row r="355" spans="2:29" ht="15" x14ac:dyDescent="0.2">
      <c r="B355" s="8"/>
      <c r="K355" s="8"/>
      <c r="T355" s="8"/>
      <c r="AC355" s="8"/>
    </row>
    <row r="356" spans="2:29" ht="15" x14ac:dyDescent="0.2">
      <c r="B356" s="8"/>
      <c r="K356" s="8"/>
      <c r="T356" s="8"/>
      <c r="AC356" s="8"/>
    </row>
    <row r="357" spans="2:29" ht="15" x14ac:dyDescent="0.2">
      <c r="B357" s="8"/>
      <c r="K357" s="8"/>
      <c r="T357" s="8"/>
      <c r="AC357" s="8"/>
    </row>
    <row r="358" spans="2:29" ht="15" x14ac:dyDescent="0.2">
      <c r="B358" s="8"/>
      <c r="K358" s="8"/>
      <c r="T358" s="8"/>
      <c r="AC358" s="8"/>
    </row>
    <row r="359" spans="2:29" ht="15" x14ac:dyDescent="0.2">
      <c r="B359" s="8"/>
      <c r="K359" s="8"/>
      <c r="T359" s="8"/>
      <c r="AC359" s="8"/>
    </row>
    <row r="360" spans="2:29" ht="15" x14ac:dyDescent="0.2">
      <c r="B360" s="8"/>
      <c r="K360" s="8"/>
      <c r="T360" s="8"/>
      <c r="AC360" s="8"/>
    </row>
    <row r="361" spans="2:29" ht="15" x14ac:dyDescent="0.2">
      <c r="B361" s="8"/>
      <c r="K361" s="8"/>
      <c r="T361" s="8"/>
      <c r="AC361" s="8"/>
    </row>
    <row r="362" spans="2:29" ht="15" x14ac:dyDescent="0.2">
      <c r="B362" s="8"/>
      <c r="K362" s="8"/>
      <c r="T362" s="8"/>
      <c r="AC362" s="8"/>
    </row>
    <row r="363" spans="2:29" ht="15" x14ac:dyDescent="0.2">
      <c r="B363" s="8"/>
      <c r="K363" s="8"/>
      <c r="T363" s="8"/>
      <c r="AC363" s="8"/>
    </row>
    <row r="364" spans="2:29" ht="15" x14ac:dyDescent="0.2">
      <c r="B364" s="8"/>
      <c r="K364" s="8"/>
      <c r="T364" s="8"/>
      <c r="AC364" s="8"/>
    </row>
    <row r="365" spans="2:29" ht="15" x14ac:dyDescent="0.2">
      <c r="B365" s="8"/>
      <c r="K365" s="8"/>
      <c r="T365" s="8"/>
      <c r="AC365" s="8"/>
    </row>
    <row r="366" spans="2:29" ht="15" x14ac:dyDescent="0.2">
      <c r="B366" s="8"/>
      <c r="K366" s="8"/>
      <c r="T366" s="8"/>
      <c r="AC366" s="8"/>
    </row>
    <row r="367" spans="2:29" ht="15" x14ac:dyDescent="0.2">
      <c r="B367" s="8"/>
      <c r="K367" s="8"/>
      <c r="T367" s="8"/>
      <c r="AC367" s="8"/>
    </row>
    <row r="368" spans="2:29" ht="15" x14ac:dyDescent="0.2">
      <c r="B368" s="8"/>
      <c r="K368" s="8"/>
      <c r="T368" s="8"/>
      <c r="AC368" s="8"/>
    </row>
    <row r="369" spans="2:29" ht="15" x14ac:dyDescent="0.2">
      <c r="B369" s="8"/>
      <c r="K369" s="8"/>
      <c r="T369" s="8"/>
      <c r="AC369" s="8"/>
    </row>
    <row r="370" spans="2:29" ht="15" x14ac:dyDescent="0.2">
      <c r="B370" s="8"/>
      <c r="K370" s="8"/>
      <c r="T370" s="8"/>
      <c r="AC370" s="8"/>
    </row>
    <row r="371" spans="2:29" ht="15" x14ac:dyDescent="0.2">
      <c r="B371" s="8"/>
      <c r="K371" s="8"/>
      <c r="T371" s="8"/>
      <c r="AC371" s="8"/>
    </row>
    <row r="372" spans="2:29" ht="15" x14ac:dyDescent="0.2">
      <c r="B372" s="8"/>
      <c r="K372" s="8"/>
      <c r="T372" s="8"/>
      <c r="AC372" s="8"/>
    </row>
    <row r="373" spans="2:29" ht="15" x14ac:dyDescent="0.2">
      <c r="B373" s="8"/>
      <c r="K373" s="8"/>
      <c r="T373" s="8"/>
      <c r="AC373" s="8"/>
    </row>
    <row r="374" spans="2:29" ht="15" x14ac:dyDescent="0.2">
      <c r="B374" s="8"/>
      <c r="K374" s="8"/>
      <c r="T374" s="8"/>
      <c r="AC374" s="8"/>
    </row>
    <row r="375" spans="2:29" ht="15" x14ac:dyDescent="0.2">
      <c r="B375" s="8"/>
      <c r="K375" s="8"/>
      <c r="T375" s="8"/>
      <c r="AC375" s="8"/>
    </row>
    <row r="376" spans="2:29" ht="15" x14ac:dyDescent="0.2">
      <c r="B376" s="8"/>
      <c r="K376" s="8"/>
      <c r="T376" s="8"/>
      <c r="AC376" s="8"/>
    </row>
    <row r="377" spans="2:29" ht="15" x14ac:dyDescent="0.2">
      <c r="B377" s="8"/>
      <c r="K377" s="8"/>
      <c r="T377" s="8"/>
      <c r="AC377" s="8"/>
    </row>
    <row r="378" spans="2:29" ht="15" x14ac:dyDescent="0.2">
      <c r="B378" s="8"/>
      <c r="K378" s="8"/>
      <c r="T378" s="8"/>
      <c r="AC378" s="8"/>
    </row>
    <row r="379" spans="2:29" ht="15" x14ac:dyDescent="0.2">
      <c r="B379" s="8"/>
      <c r="K379" s="8"/>
      <c r="T379" s="8"/>
      <c r="AC379" s="8"/>
    </row>
    <row r="380" spans="2:29" ht="15" x14ac:dyDescent="0.2">
      <c r="B380" s="8"/>
      <c r="K380" s="8"/>
      <c r="T380" s="8"/>
      <c r="AC380" s="8"/>
    </row>
    <row r="381" spans="2:29" ht="15" x14ac:dyDescent="0.2">
      <c r="B381" s="8"/>
      <c r="K381" s="8"/>
      <c r="T381" s="8"/>
      <c r="AC381" s="8"/>
    </row>
    <row r="382" spans="2:29" ht="15" x14ac:dyDescent="0.2">
      <c r="B382" s="8"/>
      <c r="K382" s="8"/>
      <c r="T382" s="8"/>
      <c r="AC382" s="8"/>
    </row>
    <row r="383" spans="2:29" ht="15" x14ac:dyDescent="0.2">
      <c r="B383" s="8"/>
      <c r="K383" s="8"/>
      <c r="T383" s="8"/>
      <c r="AC383" s="8"/>
    </row>
    <row r="384" spans="2:29" ht="15" x14ac:dyDescent="0.2">
      <c r="B384" s="8"/>
      <c r="K384" s="8"/>
      <c r="T384" s="8"/>
      <c r="AC384" s="8"/>
    </row>
    <row r="385" spans="2:29" ht="15" x14ac:dyDescent="0.2">
      <c r="B385" s="8"/>
      <c r="K385" s="8"/>
      <c r="T385" s="8"/>
      <c r="AC385" s="8"/>
    </row>
    <row r="386" spans="2:29" ht="15" x14ac:dyDescent="0.2">
      <c r="B386" s="8"/>
      <c r="K386" s="8"/>
      <c r="T386" s="8"/>
      <c r="AC386" s="8"/>
    </row>
    <row r="387" spans="2:29" ht="15" x14ac:dyDescent="0.2">
      <c r="B387" s="8"/>
      <c r="K387" s="8"/>
      <c r="T387" s="8"/>
      <c r="AC387" s="8"/>
    </row>
    <row r="388" spans="2:29" ht="15" x14ac:dyDescent="0.2">
      <c r="B388" s="8"/>
      <c r="K388" s="8"/>
      <c r="T388" s="8"/>
      <c r="AC388" s="8"/>
    </row>
    <row r="389" spans="2:29" ht="15" x14ac:dyDescent="0.2">
      <c r="B389" s="8"/>
      <c r="K389" s="8"/>
      <c r="T389" s="8"/>
      <c r="AC389" s="8"/>
    </row>
    <row r="390" spans="2:29" ht="15" x14ac:dyDescent="0.2">
      <c r="B390" s="8"/>
      <c r="K390" s="8"/>
      <c r="T390" s="8"/>
      <c r="AC390" s="8"/>
    </row>
    <row r="391" spans="2:29" ht="15" x14ac:dyDescent="0.2">
      <c r="B391" s="8"/>
      <c r="K391" s="8"/>
      <c r="T391" s="8"/>
      <c r="AC391" s="8"/>
    </row>
    <row r="392" spans="2:29" ht="15" x14ac:dyDescent="0.2">
      <c r="B392" s="8"/>
      <c r="K392" s="8"/>
      <c r="T392" s="8"/>
      <c r="AC392" s="8"/>
    </row>
    <row r="393" spans="2:29" ht="15" x14ac:dyDescent="0.2">
      <c r="B393" s="8"/>
      <c r="K393" s="8"/>
      <c r="T393" s="8"/>
      <c r="AC393" s="8"/>
    </row>
    <row r="394" spans="2:29" ht="15" x14ac:dyDescent="0.2">
      <c r="B394" s="8"/>
      <c r="K394" s="8"/>
      <c r="T394" s="8"/>
      <c r="AC394" s="8"/>
    </row>
    <row r="395" spans="2:29" ht="15" x14ac:dyDescent="0.2">
      <c r="B395" s="8"/>
      <c r="K395" s="8"/>
      <c r="T395" s="8"/>
      <c r="AC395" s="8"/>
    </row>
    <row r="396" spans="2:29" ht="15" x14ac:dyDescent="0.2">
      <c r="B396" s="8"/>
      <c r="K396" s="8"/>
      <c r="T396" s="8"/>
      <c r="AC396" s="8"/>
    </row>
    <row r="397" spans="2:29" ht="15" x14ac:dyDescent="0.2">
      <c r="B397" s="8"/>
      <c r="K397" s="8"/>
      <c r="T397" s="8"/>
      <c r="AC397" s="8"/>
    </row>
    <row r="398" spans="2:29" ht="15" x14ac:dyDescent="0.2">
      <c r="B398" s="8"/>
      <c r="K398" s="8"/>
      <c r="T398" s="8"/>
      <c r="AC398" s="8"/>
    </row>
    <row r="399" spans="2:29" ht="15" x14ac:dyDescent="0.2">
      <c r="B399" s="8"/>
      <c r="K399" s="8"/>
      <c r="T399" s="8"/>
      <c r="AC399" s="8"/>
    </row>
    <row r="400" spans="2:29" ht="15" x14ac:dyDescent="0.2">
      <c r="B400" s="8"/>
      <c r="K400" s="8"/>
      <c r="T400" s="8"/>
      <c r="AC400" s="8"/>
    </row>
    <row r="401" spans="2:29" ht="15" x14ac:dyDescent="0.2">
      <c r="B401" s="8"/>
      <c r="K401" s="8"/>
      <c r="T401" s="8"/>
      <c r="AC401" s="8"/>
    </row>
    <row r="402" spans="2:29" ht="15" x14ac:dyDescent="0.2">
      <c r="B402" s="8"/>
      <c r="K402" s="8"/>
      <c r="T402" s="8"/>
      <c r="AC402" s="8"/>
    </row>
    <row r="403" spans="2:29" ht="15" x14ac:dyDescent="0.2">
      <c r="B403" s="8"/>
      <c r="K403" s="8"/>
      <c r="T403" s="8"/>
      <c r="AC403" s="8"/>
    </row>
    <row r="404" spans="2:29" ht="15" x14ac:dyDescent="0.2">
      <c r="B404" s="8"/>
      <c r="K404" s="8"/>
      <c r="T404" s="8"/>
      <c r="AC404" s="8"/>
    </row>
    <row r="405" spans="2:29" ht="15" x14ac:dyDescent="0.2">
      <c r="B405" s="8"/>
      <c r="K405" s="8"/>
      <c r="T405" s="8"/>
      <c r="AC405" s="8"/>
    </row>
    <row r="406" spans="2:29" ht="15" x14ac:dyDescent="0.2">
      <c r="B406" s="8"/>
      <c r="K406" s="8"/>
      <c r="T406" s="8"/>
      <c r="AC406" s="8"/>
    </row>
    <row r="407" spans="2:29" ht="15" x14ac:dyDescent="0.2">
      <c r="B407" s="8"/>
      <c r="K407" s="8"/>
      <c r="T407" s="8"/>
      <c r="AC407" s="8"/>
    </row>
    <row r="408" spans="2:29" ht="15" x14ac:dyDescent="0.2">
      <c r="B408" s="8"/>
      <c r="K408" s="8"/>
      <c r="T408" s="8"/>
      <c r="AC408" s="8"/>
    </row>
    <row r="409" spans="2:29" ht="15" x14ac:dyDescent="0.2">
      <c r="B409" s="8"/>
      <c r="K409" s="8"/>
      <c r="T409" s="8"/>
      <c r="AC409" s="8"/>
    </row>
    <row r="410" spans="2:29" ht="15" x14ac:dyDescent="0.2">
      <c r="B410" s="8"/>
      <c r="K410" s="8"/>
      <c r="T410" s="8"/>
      <c r="AC410" s="8"/>
    </row>
    <row r="411" spans="2:29" ht="15" x14ac:dyDescent="0.2">
      <c r="B411" s="8"/>
      <c r="K411" s="8"/>
      <c r="T411" s="8"/>
      <c r="AC411" s="8"/>
    </row>
    <row r="412" spans="2:29" ht="15" x14ac:dyDescent="0.2">
      <c r="B412" s="8"/>
      <c r="K412" s="8"/>
      <c r="T412" s="8"/>
      <c r="AC412" s="8"/>
    </row>
    <row r="413" spans="2:29" ht="15" x14ac:dyDescent="0.2">
      <c r="B413" s="8"/>
      <c r="K413" s="8"/>
      <c r="T413" s="8"/>
      <c r="AC413" s="8"/>
    </row>
    <row r="414" spans="2:29" ht="15" x14ac:dyDescent="0.2">
      <c r="B414" s="8"/>
      <c r="K414" s="8"/>
      <c r="T414" s="8"/>
      <c r="AC414" s="8"/>
    </row>
    <row r="415" spans="2:29" ht="15" x14ac:dyDescent="0.2">
      <c r="B415" s="8"/>
      <c r="K415" s="8"/>
      <c r="T415" s="8"/>
      <c r="AC415" s="8"/>
    </row>
    <row r="416" spans="2:29" ht="15" x14ac:dyDescent="0.2">
      <c r="B416" s="8"/>
      <c r="K416" s="8"/>
      <c r="T416" s="8"/>
      <c r="AC416" s="8"/>
    </row>
    <row r="417" spans="2:29" ht="15" x14ac:dyDescent="0.2">
      <c r="B417" s="8"/>
      <c r="K417" s="8"/>
      <c r="T417" s="8"/>
      <c r="AC417" s="8"/>
    </row>
    <row r="418" spans="2:29" ht="15" x14ac:dyDescent="0.2">
      <c r="B418" s="8"/>
      <c r="K418" s="8"/>
      <c r="T418" s="8"/>
      <c r="AC418" s="8"/>
    </row>
    <row r="419" spans="2:29" ht="15" x14ac:dyDescent="0.2">
      <c r="B419" s="8"/>
      <c r="K419" s="8"/>
      <c r="T419" s="8"/>
      <c r="AC419" s="8"/>
    </row>
    <row r="420" spans="2:29" ht="15" x14ac:dyDescent="0.2">
      <c r="B420" s="8"/>
      <c r="K420" s="8"/>
      <c r="T420" s="8"/>
      <c r="AC420" s="8"/>
    </row>
    <row r="421" spans="2:29" ht="15" x14ac:dyDescent="0.2">
      <c r="B421" s="8"/>
      <c r="K421" s="8"/>
      <c r="T421" s="8"/>
      <c r="AC421" s="8"/>
    </row>
    <row r="422" spans="2:29" ht="15" x14ac:dyDescent="0.2">
      <c r="B422" s="8"/>
      <c r="K422" s="8"/>
      <c r="T422" s="8"/>
      <c r="AC422" s="8"/>
    </row>
    <row r="423" spans="2:29" ht="15" x14ac:dyDescent="0.2">
      <c r="B423" s="8"/>
      <c r="K423" s="8"/>
      <c r="T423" s="8"/>
      <c r="AC423" s="8"/>
    </row>
    <row r="424" spans="2:29" ht="15" x14ac:dyDescent="0.2">
      <c r="B424" s="8"/>
      <c r="K424" s="8"/>
      <c r="T424" s="8"/>
      <c r="AC424" s="8"/>
    </row>
    <row r="425" spans="2:29" ht="15" x14ac:dyDescent="0.2">
      <c r="B425" s="8"/>
      <c r="K425" s="8"/>
      <c r="T425" s="8"/>
      <c r="AC425" s="8"/>
    </row>
    <row r="426" spans="2:29" ht="15" x14ac:dyDescent="0.2">
      <c r="B426" s="8"/>
      <c r="K426" s="8"/>
      <c r="T426" s="8"/>
      <c r="AC426" s="8"/>
    </row>
    <row r="427" spans="2:29" ht="15" x14ac:dyDescent="0.2">
      <c r="B427" s="8"/>
      <c r="K427" s="8"/>
      <c r="T427" s="8"/>
      <c r="AC427" s="8"/>
    </row>
    <row r="428" spans="2:29" ht="15" x14ac:dyDescent="0.2">
      <c r="B428" s="8"/>
      <c r="K428" s="8"/>
      <c r="T428" s="8"/>
      <c r="AC428" s="8"/>
    </row>
    <row r="429" spans="2:29" ht="15" x14ac:dyDescent="0.2">
      <c r="B429" s="8"/>
      <c r="K429" s="8"/>
      <c r="T429" s="8"/>
      <c r="AC429" s="8"/>
    </row>
    <row r="430" spans="2:29" ht="15" x14ac:dyDescent="0.2">
      <c r="B430" s="8"/>
      <c r="K430" s="8"/>
      <c r="T430" s="8"/>
      <c r="AC430" s="8"/>
    </row>
    <row r="431" spans="2:29" ht="15" x14ac:dyDescent="0.2">
      <c r="B431" s="8"/>
      <c r="K431" s="8"/>
      <c r="T431" s="8"/>
      <c r="AC431" s="8"/>
    </row>
    <row r="432" spans="2:29" ht="15" x14ac:dyDescent="0.2">
      <c r="B432" s="8"/>
      <c r="K432" s="8"/>
      <c r="T432" s="8"/>
      <c r="AC432" s="8"/>
    </row>
    <row r="433" spans="2:29" ht="15" x14ac:dyDescent="0.2">
      <c r="B433" s="8"/>
      <c r="K433" s="8"/>
      <c r="T433" s="8"/>
      <c r="AC433" s="8"/>
    </row>
    <row r="434" spans="2:29" ht="15" x14ac:dyDescent="0.2">
      <c r="B434" s="8"/>
      <c r="K434" s="8"/>
      <c r="T434" s="8"/>
      <c r="AC434" s="8"/>
    </row>
    <row r="435" spans="2:29" ht="15" x14ac:dyDescent="0.2">
      <c r="B435" s="8"/>
      <c r="K435" s="8"/>
      <c r="T435" s="8"/>
      <c r="AC435" s="8"/>
    </row>
    <row r="436" spans="2:29" ht="15" x14ac:dyDescent="0.2">
      <c r="B436" s="8"/>
      <c r="K436" s="8"/>
      <c r="T436" s="8"/>
      <c r="AC436" s="8"/>
    </row>
    <row r="437" spans="2:29" ht="15" x14ac:dyDescent="0.2">
      <c r="B437" s="8"/>
      <c r="K437" s="8"/>
      <c r="T437" s="8"/>
      <c r="AC437" s="8"/>
    </row>
    <row r="438" spans="2:29" ht="15" x14ac:dyDescent="0.2">
      <c r="B438" s="8"/>
      <c r="K438" s="8"/>
      <c r="T438" s="8"/>
      <c r="AC438" s="8"/>
    </row>
    <row r="439" spans="2:29" ht="15" x14ac:dyDescent="0.2">
      <c r="B439" s="8"/>
      <c r="K439" s="8"/>
      <c r="T439" s="8"/>
      <c r="AC439" s="8"/>
    </row>
    <row r="440" spans="2:29" ht="15" x14ac:dyDescent="0.2">
      <c r="B440" s="8"/>
      <c r="K440" s="8"/>
      <c r="T440" s="8"/>
      <c r="AC440" s="8"/>
    </row>
    <row r="441" spans="2:29" ht="15" x14ac:dyDescent="0.2">
      <c r="B441" s="8"/>
      <c r="K441" s="8"/>
      <c r="T441" s="8"/>
      <c r="AC441" s="8"/>
    </row>
    <row r="442" spans="2:29" ht="15" x14ac:dyDescent="0.2">
      <c r="B442" s="8"/>
      <c r="K442" s="8"/>
      <c r="T442" s="8"/>
      <c r="AC442" s="8"/>
    </row>
    <row r="443" spans="2:29" ht="15" x14ac:dyDescent="0.2">
      <c r="B443" s="8"/>
      <c r="K443" s="8"/>
      <c r="T443" s="8"/>
      <c r="AC443" s="8"/>
    </row>
    <row r="444" spans="2:29" ht="15" x14ac:dyDescent="0.2">
      <c r="B444" s="8"/>
      <c r="K444" s="8"/>
      <c r="T444" s="8"/>
      <c r="AC444" s="8"/>
    </row>
    <row r="445" spans="2:29" ht="15" x14ac:dyDescent="0.2">
      <c r="B445" s="8"/>
      <c r="K445" s="8"/>
      <c r="T445" s="8"/>
      <c r="AC445" s="8"/>
    </row>
    <row r="446" spans="2:29" ht="15" x14ac:dyDescent="0.2">
      <c r="B446" s="8"/>
      <c r="K446" s="8"/>
      <c r="T446" s="8"/>
      <c r="AC446" s="8"/>
    </row>
    <row r="447" spans="2:29" ht="15" x14ac:dyDescent="0.2">
      <c r="B447" s="8"/>
      <c r="K447" s="8"/>
      <c r="T447" s="8"/>
      <c r="AC447" s="8"/>
    </row>
    <row r="448" spans="2:29" ht="15" x14ac:dyDescent="0.2">
      <c r="B448" s="8"/>
      <c r="K448" s="8"/>
      <c r="T448" s="8"/>
      <c r="AC448" s="8"/>
    </row>
    <row r="449" spans="2:29" ht="15" x14ac:dyDescent="0.2">
      <c r="B449" s="8"/>
      <c r="K449" s="8"/>
      <c r="T449" s="8"/>
      <c r="AC449" s="8"/>
    </row>
    <row r="450" spans="2:29" ht="15" x14ac:dyDescent="0.2">
      <c r="B450" s="8"/>
      <c r="K450" s="8"/>
      <c r="T450" s="8"/>
      <c r="AC450" s="8"/>
    </row>
    <row r="451" spans="2:29" ht="15" x14ac:dyDescent="0.2">
      <c r="B451" s="8"/>
      <c r="K451" s="8"/>
      <c r="T451" s="8"/>
      <c r="AC451" s="8"/>
    </row>
    <row r="452" spans="2:29" ht="15" x14ac:dyDescent="0.2">
      <c r="B452" s="8"/>
      <c r="K452" s="8"/>
      <c r="T452" s="8"/>
      <c r="AC452" s="8"/>
    </row>
    <row r="453" spans="2:29" ht="15" x14ac:dyDescent="0.2">
      <c r="B453" s="8"/>
      <c r="K453" s="8"/>
      <c r="T453" s="8"/>
      <c r="AC453" s="8"/>
    </row>
    <row r="454" spans="2:29" ht="15" x14ac:dyDescent="0.2">
      <c r="B454" s="8"/>
      <c r="K454" s="8"/>
      <c r="T454" s="8"/>
      <c r="AC454" s="8"/>
    </row>
    <row r="455" spans="2:29" ht="15" x14ac:dyDescent="0.2">
      <c r="B455" s="8"/>
      <c r="K455" s="8"/>
      <c r="T455" s="8"/>
      <c r="AC455" s="8"/>
    </row>
    <row r="456" spans="2:29" ht="15" x14ac:dyDescent="0.2">
      <c r="B456" s="8"/>
      <c r="K456" s="8"/>
      <c r="T456" s="8"/>
      <c r="AC456" s="8"/>
    </row>
    <row r="457" spans="2:29" ht="15" x14ac:dyDescent="0.2">
      <c r="B457" s="8"/>
      <c r="K457" s="8"/>
      <c r="T457" s="8"/>
      <c r="AC457" s="8"/>
    </row>
    <row r="458" spans="2:29" ht="15" x14ac:dyDescent="0.2">
      <c r="B458" s="8"/>
      <c r="K458" s="8"/>
      <c r="T458" s="8"/>
      <c r="AC458" s="8"/>
    </row>
    <row r="459" spans="2:29" ht="15" x14ac:dyDescent="0.2">
      <c r="B459" s="8"/>
      <c r="K459" s="8"/>
      <c r="T459" s="8"/>
      <c r="AC459" s="8"/>
    </row>
    <row r="460" spans="2:29" ht="15" x14ac:dyDescent="0.2">
      <c r="B460" s="8"/>
      <c r="K460" s="8"/>
      <c r="T460" s="8"/>
      <c r="AC460" s="8"/>
    </row>
    <row r="461" spans="2:29" ht="15" x14ac:dyDescent="0.2">
      <c r="B461" s="8"/>
      <c r="K461" s="8"/>
      <c r="T461" s="8"/>
      <c r="AC461" s="8"/>
    </row>
    <row r="462" spans="2:29" ht="15" x14ac:dyDescent="0.2">
      <c r="B462" s="8"/>
      <c r="K462" s="8"/>
      <c r="T462" s="8"/>
      <c r="AC462" s="8"/>
    </row>
    <row r="463" spans="2:29" ht="15" x14ac:dyDescent="0.2">
      <c r="B463" s="8"/>
      <c r="K463" s="8"/>
      <c r="T463" s="8"/>
      <c r="AC463" s="8"/>
    </row>
    <row r="464" spans="2:29" ht="15" x14ac:dyDescent="0.2">
      <c r="B464" s="8"/>
      <c r="K464" s="8"/>
      <c r="T464" s="8"/>
      <c r="AC464" s="8"/>
    </row>
    <row r="465" spans="2:29" ht="15" x14ac:dyDescent="0.2">
      <c r="B465" s="8"/>
      <c r="K465" s="8"/>
      <c r="T465" s="8"/>
      <c r="AC465" s="8"/>
    </row>
    <row r="466" spans="2:29" ht="15" x14ac:dyDescent="0.2">
      <c r="B466" s="8"/>
      <c r="K466" s="8"/>
      <c r="T466" s="8"/>
      <c r="AC466" s="8"/>
    </row>
    <row r="467" spans="2:29" ht="15" x14ac:dyDescent="0.2">
      <c r="B467" s="8"/>
      <c r="K467" s="8"/>
      <c r="T467" s="8"/>
      <c r="AC467" s="8"/>
    </row>
    <row r="468" spans="2:29" ht="15" x14ac:dyDescent="0.2">
      <c r="B468" s="8"/>
      <c r="K468" s="8"/>
      <c r="T468" s="8"/>
      <c r="AC468" s="8"/>
    </row>
    <row r="469" spans="2:29" ht="15" x14ac:dyDescent="0.2">
      <c r="B469" s="8"/>
      <c r="K469" s="8"/>
      <c r="T469" s="8"/>
      <c r="AC469" s="8"/>
    </row>
    <row r="470" spans="2:29" ht="15" x14ac:dyDescent="0.2">
      <c r="B470" s="8"/>
      <c r="K470" s="8"/>
      <c r="T470" s="8"/>
      <c r="AC470" s="8"/>
    </row>
    <row r="471" spans="2:29" ht="15" x14ac:dyDescent="0.2">
      <c r="B471" s="8"/>
      <c r="K471" s="8"/>
      <c r="T471" s="8"/>
      <c r="AC471" s="8"/>
    </row>
    <row r="472" spans="2:29" ht="15" x14ac:dyDescent="0.2">
      <c r="B472" s="8"/>
      <c r="K472" s="8"/>
      <c r="T472" s="8"/>
      <c r="AC472" s="8"/>
    </row>
    <row r="473" spans="2:29" ht="15" x14ac:dyDescent="0.2">
      <c r="B473" s="8"/>
      <c r="K473" s="8"/>
      <c r="T473" s="8"/>
      <c r="AC473" s="8"/>
    </row>
    <row r="474" spans="2:29" ht="15" x14ac:dyDescent="0.2">
      <c r="B474" s="8"/>
      <c r="K474" s="8"/>
      <c r="T474" s="8"/>
      <c r="AC474" s="8"/>
    </row>
    <row r="475" spans="2:29" ht="15" x14ac:dyDescent="0.2">
      <c r="B475" s="8"/>
      <c r="K475" s="8"/>
      <c r="T475" s="8"/>
      <c r="AC475" s="8"/>
    </row>
    <row r="476" spans="2:29" ht="15" x14ac:dyDescent="0.2">
      <c r="B476" s="8"/>
      <c r="K476" s="8"/>
      <c r="T476" s="8"/>
      <c r="AC476" s="8"/>
    </row>
    <row r="477" spans="2:29" ht="15" x14ac:dyDescent="0.2">
      <c r="B477" s="8"/>
      <c r="K477" s="8"/>
      <c r="T477" s="8"/>
      <c r="AC477" s="8"/>
    </row>
    <row r="478" spans="2:29" ht="15" x14ac:dyDescent="0.2">
      <c r="B478" s="8"/>
      <c r="K478" s="8"/>
      <c r="T478" s="8"/>
      <c r="AC478" s="8"/>
    </row>
    <row r="479" spans="2:29" ht="15" x14ac:dyDescent="0.2">
      <c r="B479" s="8"/>
      <c r="K479" s="8"/>
      <c r="T479" s="8"/>
      <c r="AC479" s="8"/>
    </row>
    <row r="480" spans="2:29" ht="15" x14ac:dyDescent="0.2">
      <c r="B480" s="8"/>
      <c r="K480" s="8"/>
      <c r="T480" s="8"/>
      <c r="AC480" s="8"/>
    </row>
    <row r="481" spans="2:29" ht="15" x14ac:dyDescent="0.2">
      <c r="B481" s="8"/>
      <c r="K481" s="8"/>
      <c r="T481" s="8"/>
      <c r="AC481" s="8"/>
    </row>
    <row r="482" spans="2:29" ht="15" x14ac:dyDescent="0.2">
      <c r="B482" s="8"/>
      <c r="K482" s="8"/>
      <c r="T482" s="8"/>
      <c r="AC482" s="8"/>
    </row>
    <row r="483" spans="2:29" ht="15" x14ac:dyDescent="0.2">
      <c r="B483" s="8"/>
      <c r="K483" s="8"/>
      <c r="T483" s="8"/>
      <c r="AC483" s="8"/>
    </row>
    <row r="484" spans="2:29" ht="15" x14ac:dyDescent="0.2">
      <c r="B484" s="8"/>
      <c r="K484" s="8"/>
      <c r="T484" s="8"/>
      <c r="AC484" s="8"/>
    </row>
    <row r="485" spans="2:29" ht="15" x14ac:dyDescent="0.2">
      <c r="B485" s="8"/>
      <c r="K485" s="8"/>
      <c r="T485" s="8"/>
      <c r="AC485" s="8"/>
    </row>
    <row r="486" spans="2:29" ht="15" x14ac:dyDescent="0.2">
      <c r="B486" s="8"/>
      <c r="K486" s="8"/>
      <c r="T486" s="8"/>
      <c r="AC486" s="8"/>
    </row>
    <row r="487" spans="2:29" ht="15" x14ac:dyDescent="0.2">
      <c r="B487" s="8"/>
      <c r="K487" s="8"/>
      <c r="T487" s="8"/>
      <c r="AC487" s="8"/>
    </row>
    <row r="488" spans="2:29" ht="15" x14ac:dyDescent="0.2">
      <c r="B488" s="8"/>
      <c r="K488" s="8"/>
      <c r="T488" s="8"/>
      <c r="AC488" s="8"/>
    </row>
    <row r="489" spans="2:29" ht="15" x14ac:dyDescent="0.2">
      <c r="B489" s="8"/>
      <c r="K489" s="8"/>
      <c r="T489" s="8"/>
      <c r="AC489" s="8"/>
    </row>
    <row r="490" spans="2:29" ht="15" x14ac:dyDescent="0.2">
      <c r="B490" s="8"/>
      <c r="K490" s="8"/>
      <c r="T490" s="8"/>
      <c r="AC490" s="8"/>
    </row>
    <row r="491" spans="2:29" ht="15" x14ac:dyDescent="0.2">
      <c r="B491" s="8"/>
      <c r="K491" s="8"/>
      <c r="T491" s="8"/>
      <c r="AC491" s="8"/>
    </row>
    <row r="492" spans="2:29" ht="15" x14ac:dyDescent="0.2">
      <c r="B492" s="8"/>
      <c r="K492" s="8"/>
      <c r="T492" s="8"/>
      <c r="AC492" s="8"/>
    </row>
    <row r="493" spans="2:29" ht="15" x14ac:dyDescent="0.2">
      <c r="B493" s="8"/>
      <c r="K493" s="8"/>
      <c r="T493" s="8"/>
      <c r="AC493" s="8"/>
    </row>
    <row r="494" spans="2:29" ht="15" x14ac:dyDescent="0.2">
      <c r="B494" s="8"/>
      <c r="K494" s="8"/>
      <c r="T494" s="8"/>
      <c r="AC494" s="8"/>
    </row>
    <row r="495" spans="2:29" ht="15" x14ac:dyDescent="0.2">
      <c r="B495" s="8"/>
      <c r="K495" s="8"/>
      <c r="T495" s="8"/>
      <c r="AC495" s="8"/>
    </row>
    <row r="496" spans="2:29" ht="15" x14ac:dyDescent="0.2">
      <c r="B496" s="8"/>
      <c r="K496" s="8"/>
      <c r="T496" s="8"/>
      <c r="AC496" s="8"/>
    </row>
    <row r="497" spans="2:29" ht="15" x14ac:dyDescent="0.2">
      <c r="B497" s="8"/>
      <c r="K497" s="8"/>
      <c r="T497" s="8"/>
      <c r="AC497" s="8"/>
    </row>
    <row r="498" spans="2:29" ht="15" x14ac:dyDescent="0.2">
      <c r="B498" s="8"/>
      <c r="K498" s="8"/>
      <c r="T498" s="8"/>
      <c r="AC498" s="8"/>
    </row>
    <row r="499" spans="2:29" ht="15" x14ac:dyDescent="0.2">
      <c r="B499" s="8"/>
      <c r="K499" s="8"/>
      <c r="T499" s="8"/>
      <c r="AC499" s="8"/>
    </row>
    <row r="500" spans="2:29" ht="15" x14ac:dyDescent="0.2">
      <c r="B500" s="8"/>
      <c r="K500" s="8"/>
      <c r="T500" s="8"/>
      <c r="AC500" s="8"/>
    </row>
    <row r="501" spans="2:29" ht="15" x14ac:dyDescent="0.2">
      <c r="B501" s="8"/>
      <c r="K501" s="8"/>
      <c r="T501" s="8"/>
      <c r="AC501" s="8"/>
    </row>
    <row r="502" spans="2:29" ht="15" x14ac:dyDescent="0.2">
      <c r="B502" s="8"/>
      <c r="K502" s="8"/>
      <c r="T502" s="8"/>
      <c r="AC502" s="8"/>
    </row>
    <row r="503" spans="2:29" ht="15" x14ac:dyDescent="0.2">
      <c r="B503" s="8"/>
      <c r="K503" s="8"/>
      <c r="T503" s="8"/>
      <c r="AC503" s="8"/>
    </row>
    <row r="504" spans="2:29" ht="15" x14ac:dyDescent="0.2">
      <c r="B504" s="8"/>
      <c r="K504" s="8"/>
      <c r="T504" s="8"/>
      <c r="AC504" s="8"/>
    </row>
    <row r="505" spans="2:29" ht="15" x14ac:dyDescent="0.2">
      <c r="B505" s="8"/>
      <c r="K505" s="8"/>
      <c r="T505" s="8"/>
      <c r="AC505" s="8"/>
    </row>
    <row r="506" spans="2:29" ht="15" x14ac:dyDescent="0.2">
      <c r="B506" s="8"/>
      <c r="K506" s="8"/>
      <c r="T506" s="8"/>
      <c r="AC506" s="8"/>
    </row>
    <row r="507" spans="2:29" ht="15" x14ac:dyDescent="0.2">
      <c r="B507" s="8"/>
      <c r="K507" s="8"/>
      <c r="T507" s="8"/>
      <c r="AC507" s="8"/>
    </row>
    <row r="508" spans="2:29" ht="15" x14ac:dyDescent="0.2">
      <c r="B508" s="8"/>
      <c r="K508" s="8"/>
      <c r="T508" s="8"/>
      <c r="AC508" s="8"/>
    </row>
    <row r="509" spans="2:29" ht="15" x14ac:dyDescent="0.2">
      <c r="B509" s="8"/>
      <c r="K509" s="8"/>
      <c r="T509" s="8"/>
      <c r="AC509" s="8"/>
    </row>
    <row r="510" spans="2:29" ht="15" x14ac:dyDescent="0.2">
      <c r="B510" s="8"/>
      <c r="K510" s="8"/>
      <c r="T510" s="8"/>
      <c r="AC510" s="8"/>
    </row>
    <row r="511" spans="2:29" ht="15" x14ac:dyDescent="0.2">
      <c r="B511" s="8"/>
      <c r="K511" s="8"/>
      <c r="T511" s="8"/>
      <c r="AC511" s="8"/>
    </row>
    <row r="512" spans="2:29" ht="15" x14ac:dyDescent="0.2">
      <c r="B512" s="8"/>
      <c r="K512" s="8"/>
      <c r="T512" s="8"/>
      <c r="AC512" s="8"/>
    </row>
    <row r="513" spans="2:29" ht="15" x14ac:dyDescent="0.2">
      <c r="B513" s="8"/>
      <c r="K513" s="8"/>
      <c r="T513" s="8"/>
      <c r="AC513" s="8"/>
    </row>
    <row r="514" spans="2:29" ht="15" x14ac:dyDescent="0.2">
      <c r="B514" s="8"/>
      <c r="K514" s="8"/>
      <c r="T514" s="8"/>
      <c r="AC514" s="8"/>
    </row>
    <row r="515" spans="2:29" ht="15" x14ac:dyDescent="0.2">
      <c r="B515" s="8"/>
      <c r="K515" s="8"/>
      <c r="T515" s="8"/>
      <c r="AC515" s="8"/>
    </row>
    <row r="516" spans="2:29" ht="15" x14ac:dyDescent="0.2">
      <c r="B516" s="8"/>
      <c r="K516" s="8"/>
      <c r="T516" s="8"/>
      <c r="AC516" s="8"/>
    </row>
    <row r="517" spans="2:29" ht="15" x14ac:dyDescent="0.2">
      <c r="B517" s="8"/>
      <c r="K517" s="8"/>
      <c r="T517" s="8"/>
      <c r="AC517" s="8"/>
    </row>
    <row r="518" spans="2:29" ht="15" x14ac:dyDescent="0.2">
      <c r="B518" s="8"/>
      <c r="K518" s="8"/>
      <c r="T518" s="8"/>
      <c r="AC518" s="8"/>
    </row>
    <row r="519" spans="2:29" ht="15" x14ac:dyDescent="0.2">
      <c r="B519" s="8"/>
      <c r="K519" s="8"/>
      <c r="T519" s="8"/>
      <c r="AC519" s="8"/>
    </row>
    <row r="520" spans="2:29" ht="15" x14ac:dyDescent="0.2">
      <c r="B520" s="8"/>
      <c r="K520" s="8"/>
      <c r="T520" s="8"/>
      <c r="AC520" s="8"/>
    </row>
    <row r="521" spans="2:29" ht="15" x14ac:dyDescent="0.2">
      <c r="B521" s="8"/>
      <c r="K521" s="8"/>
      <c r="T521" s="8"/>
      <c r="AC521" s="8"/>
    </row>
    <row r="522" spans="2:29" ht="15" x14ac:dyDescent="0.2">
      <c r="B522" s="8"/>
      <c r="K522" s="8"/>
      <c r="T522" s="8"/>
      <c r="AC522" s="8"/>
    </row>
    <row r="523" spans="2:29" ht="15" x14ac:dyDescent="0.2">
      <c r="B523" s="8"/>
      <c r="K523" s="8"/>
      <c r="T523" s="8"/>
      <c r="AC523" s="8"/>
    </row>
    <row r="524" spans="2:29" ht="15" x14ac:dyDescent="0.2">
      <c r="B524" s="8"/>
      <c r="K524" s="8"/>
      <c r="T524" s="8"/>
      <c r="AC524" s="8"/>
    </row>
    <row r="525" spans="2:29" ht="15" x14ac:dyDescent="0.2">
      <c r="B525" s="8"/>
      <c r="K525" s="8"/>
      <c r="T525" s="8"/>
      <c r="AC525" s="8"/>
    </row>
    <row r="526" spans="2:29" ht="15" x14ac:dyDescent="0.2">
      <c r="B526" s="8"/>
      <c r="K526" s="8"/>
      <c r="T526" s="8"/>
      <c r="AC526" s="8"/>
    </row>
    <row r="527" spans="2:29" ht="15" x14ac:dyDescent="0.2">
      <c r="B527" s="8"/>
      <c r="K527" s="8"/>
      <c r="T527" s="8"/>
      <c r="AC527" s="8"/>
    </row>
    <row r="528" spans="2:29" ht="15" x14ac:dyDescent="0.2">
      <c r="B528" s="8"/>
      <c r="K528" s="8"/>
      <c r="T528" s="8"/>
      <c r="AC528" s="8"/>
    </row>
    <row r="529" spans="2:29" ht="15" x14ac:dyDescent="0.2">
      <c r="B529" s="8"/>
      <c r="K529" s="8"/>
      <c r="T529" s="8"/>
      <c r="AC529" s="8"/>
    </row>
    <row r="530" spans="2:29" ht="15" x14ac:dyDescent="0.2">
      <c r="B530" s="8"/>
      <c r="K530" s="8"/>
      <c r="T530" s="8"/>
      <c r="AC530" s="8"/>
    </row>
    <row r="531" spans="2:29" ht="15" x14ac:dyDescent="0.2">
      <c r="B531" s="8"/>
      <c r="K531" s="8"/>
      <c r="T531" s="8"/>
      <c r="AC531" s="8"/>
    </row>
    <row r="532" spans="2:29" ht="15" x14ac:dyDescent="0.2">
      <c r="B532" s="8"/>
      <c r="K532" s="8"/>
      <c r="T532" s="8"/>
      <c r="AC532" s="8"/>
    </row>
    <row r="533" spans="2:29" ht="15" x14ac:dyDescent="0.2">
      <c r="B533" s="8"/>
      <c r="K533" s="8"/>
      <c r="T533" s="8"/>
      <c r="AC533" s="8"/>
    </row>
    <row r="534" spans="2:29" ht="15" x14ac:dyDescent="0.2">
      <c r="B534" s="8"/>
      <c r="K534" s="8"/>
      <c r="T534" s="8"/>
      <c r="AC534" s="8"/>
    </row>
    <row r="535" spans="2:29" ht="15" x14ac:dyDescent="0.2">
      <c r="B535" s="8"/>
      <c r="K535" s="8"/>
      <c r="T535" s="8"/>
      <c r="AC535" s="8"/>
    </row>
    <row r="536" spans="2:29" ht="15" x14ac:dyDescent="0.2">
      <c r="B536" s="8"/>
      <c r="K536" s="8"/>
      <c r="T536" s="8"/>
      <c r="AC536" s="8"/>
    </row>
    <row r="537" spans="2:29" ht="15" x14ac:dyDescent="0.2">
      <c r="B537" s="8"/>
      <c r="K537" s="8"/>
      <c r="T537" s="8"/>
      <c r="AC537" s="8"/>
    </row>
    <row r="538" spans="2:29" ht="15" x14ac:dyDescent="0.2">
      <c r="B538" s="8"/>
      <c r="K538" s="8"/>
      <c r="T538" s="8"/>
      <c r="AC538" s="8"/>
    </row>
    <row r="539" spans="2:29" ht="15" x14ac:dyDescent="0.2">
      <c r="B539" s="8"/>
      <c r="K539" s="8"/>
      <c r="T539" s="8"/>
      <c r="AC539" s="8"/>
    </row>
    <row r="540" spans="2:29" ht="15" x14ac:dyDescent="0.2">
      <c r="B540" s="8"/>
      <c r="K540" s="8"/>
      <c r="T540" s="8"/>
      <c r="AC540" s="8"/>
    </row>
    <row r="541" spans="2:29" ht="15" x14ac:dyDescent="0.2">
      <c r="B541" s="8"/>
      <c r="K541" s="8"/>
      <c r="T541" s="8"/>
      <c r="AC541" s="8"/>
    </row>
    <row r="542" spans="2:29" ht="15" x14ac:dyDescent="0.2">
      <c r="B542" s="8"/>
      <c r="K542" s="8"/>
      <c r="T542" s="8"/>
      <c r="AC542" s="8"/>
    </row>
    <row r="543" spans="2:29" ht="15" x14ac:dyDescent="0.2">
      <c r="B543" s="8"/>
      <c r="K543" s="8"/>
      <c r="T543" s="8"/>
      <c r="AC543" s="8"/>
    </row>
    <row r="544" spans="2:29" ht="15" x14ac:dyDescent="0.2">
      <c r="B544" s="8"/>
      <c r="K544" s="8"/>
      <c r="T544" s="8"/>
      <c r="AC544" s="8"/>
    </row>
    <row r="545" spans="2:29" ht="15" x14ac:dyDescent="0.2">
      <c r="B545" s="8"/>
      <c r="K545" s="8"/>
      <c r="T545" s="8"/>
      <c r="AC545" s="8"/>
    </row>
    <row r="546" spans="2:29" ht="15" x14ac:dyDescent="0.2">
      <c r="B546" s="8"/>
      <c r="K546" s="8"/>
      <c r="T546" s="8"/>
      <c r="AC546" s="8"/>
    </row>
    <row r="547" spans="2:29" ht="15" x14ac:dyDescent="0.2">
      <c r="B547" s="8"/>
      <c r="K547" s="8"/>
      <c r="T547" s="8"/>
      <c r="AC547" s="8"/>
    </row>
    <row r="548" spans="2:29" ht="15" x14ac:dyDescent="0.2">
      <c r="B548" s="8"/>
      <c r="K548" s="8"/>
      <c r="T548" s="8"/>
      <c r="AC548" s="8"/>
    </row>
    <row r="549" spans="2:29" ht="15" x14ac:dyDescent="0.2">
      <c r="B549" s="8"/>
      <c r="K549" s="8"/>
      <c r="T549" s="8"/>
      <c r="AC549" s="8"/>
    </row>
    <row r="550" spans="2:29" ht="15" x14ac:dyDescent="0.2">
      <c r="B550" s="8"/>
      <c r="K550" s="8"/>
      <c r="T550" s="8"/>
      <c r="AC550" s="8"/>
    </row>
    <row r="551" spans="2:29" ht="15" x14ac:dyDescent="0.2">
      <c r="B551" s="8"/>
      <c r="K551" s="8"/>
      <c r="T551" s="8"/>
      <c r="AC551" s="8"/>
    </row>
    <row r="552" spans="2:29" ht="15" x14ac:dyDescent="0.2">
      <c r="B552" s="8"/>
      <c r="K552" s="8"/>
      <c r="T552" s="8"/>
      <c r="AC552" s="8"/>
    </row>
    <row r="553" spans="2:29" ht="15" x14ac:dyDescent="0.2">
      <c r="B553" s="8"/>
      <c r="K553" s="8"/>
      <c r="T553" s="8"/>
      <c r="AC553" s="8"/>
    </row>
    <row r="554" spans="2:29" ht="15" x14ac:dyDescent="0.2">
      <c r="B554" s="8"/>
      <c r="K554" s="8"/>
      <c r="T554" s="8"/>
      <c r="AC554" s="8"/>
    </row>
    <row r="555" spans="2:29" ht="15" x14ac:dyDescent="0.2">
      <c r="B555" s="8"/>
      <c r="K555" s="8"/>
      <c r="T555" s="8"/>
      <c r="AC555" s="8"/>
    </row>
    <row r="556" spans="2:29" ht="15" x14ac:dyDescent="0.2">
      <c r="B556" s="8"/>
      <c r="K556" s="8"/>
      <c r="T556" s="8"/>
      <c r="AC556" s="8"/>
    </row>
    <row r="557" spans="2:29" ht="15" x14ac:dyDescent="0.2">
      <c r="B557" s="8"/>
      <c r="K557" s="8"/>
      <c r="T557" s="8"/>
      <c r="AC557" s="8"/>
    </row>
    <row r="558" spans="2:29" ht="15" x14ac:dyDescent="0.2">
      <c r="B558" s="8"/>
      <c r="K558" s="8"/>
      <c r="T558" s="8"/>
      <c r="AC558" s="8"/>
    </row>
    <row r="559" spans="2:29" ht="15" x14ac:dyDescent="0.2">
      <c r="B559" s="8"/>
      <c r="K559" s="8"/>
      <c r="T559" s="8"/>
      <c r="AC559" s="8"/>
    </row>
    <row r="560" spans="2:29" ht="15" x14ac:dyDescent="0.2">
      <c r="B560" s="8"/>
      <c r="K560" s="8"/>
      <c r="T560" s="8"/>
      <c r="AC560" s="8"/>
    </row>
    <row r="561" spans="2:29" ht="15" x14ac:dyDescent="0.2">
      <c r="B561" s="8"/>
      <c r="K561" s="8"/>
      <c r="T561" s="8"/>
      <c r="AC561" s="8"/>
    </row>
    <row r="562" spans="2:29" ht="15" x14ac:dyDescent="0.2">
      <c r="B562" s="8"/>
      <c r="K562" s="8"/>
      <c r="T562" s="8"/>
      <c r="AC562" s="8"/>
    </row>
    <row r="563" spans="2:29" ht="15" x14ac:dyDescent="0.2">
      <c r="B563" s="8"/>
      <c r="K563" s="8"/>
      <c r="T563" s="8"/>
      <c r="AC563" s="8"/>
    </row>
    <row r="564" spans="2:29" ht="15" x14ac:dyDescent="0.2">
      <c r="B564" s="8"/>
      <c r="K564" s="8"/>
      <c r="T564" s="8"/>
      <c r="AC564" s="8"/>
    </row>
    <row r="565" spans="2:29" ht="15" x14ac:dyDescent="0.2">
      <c r="B565" s="8"/>
      <c r="K565" s="8"/>
      <c r="T565" s="8"/>
      <c r="AC565" s="8"/>
    </row>
    <row r="566" spans="2:29" ht="15" x14ac:dyDescent="0.2">
      <c r="B566" s="8"/>
      <c r="K566" s="8"/>
      <c r="T566" s="8"/>
      <c r="AC566" s="8"/>
    </row>
    <row r="567" spans="2:29" ht="15" x14ac:dyDescent="0.2">
      <c r="B567" s="8"/>
      <c r="K567" s="8"/>
      <c r="T567" s="8"/>
      <c r="AC567" s="8"/>
    </row>
    <row r="568" spans="2:29" ht="15" x14ac:dyDescent="0.2">
      <c r="B568" s="8"/>
      <c r="K568" s="8"/>
      <c r="T568" s="8"/>
      <c r="AC568" s="8"/>
    </row>
    <row r="569" spans="2:29" ht="15" x14ac:dyDescent="0.2">
      <c r="B569" s="8"/>
      <c r="K569" s="8"/>
      <c r="T569" s="8"/>
      <c r="AC569" s="8"/>
    </row>
    <row r="570" spans="2:29" ht="15" x14ac:dyDescent="0.2">
      <c r="B570" s="8"/>
      <c r="K570" s="8"/>
      <c r="T570" s="8"/>
      <c r="AC570" s="8"/>
    </row>
    <row r="571" spans="2:29" ht="15" x14ac:dyDescent="0.2">
      <c r="B571" s="8"/>
      <c r="K571" s="8"/>
      <c r="T571" s="8"/>
      <c r="AC571" s="8"/>
    </row>
    <row r="572" spans="2:29" ht="15" x14ac:dyDescent="0.2">
      <c r="B572" s="8"/>
      <c r="K572" s="8"/>
      <c r="T572" s="8"/>
      <c r="AC572" s="8"/>
    </row>
    <row r="573" spans="2:29" ht="15" x14ac:dyDescent="0.2">
      <c r="B573" s="8"/>
      <c r="K573" s="8"/>
      <c r="T573" s="8"/>
      <c r="AC573" s="8"/>
    </row>
    <row r="574" spans="2:29" ht="15" x14ac:dyDescent="0.2">
      <c r="B574" s="8"/>
      <c r="K574" s="8"/>
      <c r="T574" s="8"/>
      <c r="AC574" s="8"/>
    </row>
    <row r="575" spans="2:29" ht="15" x14ac:dyDescent="0.2">
      <c r="B575" s="8"/>
      <c r="K575" s="8"/>
      <c r="T575" s="8"/>
      <c r="AC575" s="8"/>
    </row>
    <row r="576" spans="2:29" ht="15" x14ac:dyDescent="0.2">
      <c r="B576" s="8"/>
      <c r="K576" s="8"/>
      <c r="T576" s="8"/>
      <c r="AC576" s="8"/>
    </row>
    <row r="577" spans="2:29" ht="15" x14ac:dyDescent="0.2">
      <c r="B577" s="8"/>
      <c r="K577" s="8"/>
      <c r="T577" s="8"/>
      <c r="AC577" s="8"/>
    </row>
    <row r="578" spans="2:29" ht="15" x14ac:dyDescent="0.2">
      <c r="B578" s="8"/>
      <c r="K578" s="8"/>
      <c r="T578" s="8"/>
      <c r="AC578" s="8"/>
    </row>
    <row r="579" spans="2:29" ht="15" x14ac:dyDescent="0.2">
      <c r="B579" s="8"/>
      <c r="K579" s="8"/>
      <c r="T579" s="8"/>
      <c r="AC579" s="8"/>
    </row>
    <row r="580" spans="2:29" ht="15" x14ac:dyDescent="0.2">
      <c r="B580" s="8"/>
      <c r="K580" s="8"/>
      <c r="T580" s="8"/>
      <c r="AC580" s="8"/>
    </row>
    <row r="581" spans="2:29" ht="15" x14ac:dyDescent="0.2">
      <c r="B581" s="8"/>
      <c r="K581" s="8"/>
      <c r="T581" s="8"/>
      <c r="AC581" s="8"/>
    </row>
    <row r="582" spans="2:29" ht="15" x14ac:dyDescent="0.2">
      <c r="B582" s="8"/>
      <c r="K582" s="8"/>
      <c r="T582" s="8"/>
      <c r="AC582" s="8"/>
    </row>
    <row r="583" spans="2:29" ht="15" x14ac:dyDescent="0.2">
      <c r="B583" s="8"/>
      <c r="K583" s="8"/>
      <c r="T583" s="8"/>
      <c r="AC583" s="8"/>
    </row>
    <row r="584" spans="2:29" ht="15" x14ac:dyDescent="0.2">
      <c r="B584" s="8"/>
      <c r="K584" s="8"/>
      <c r="T584" s="8"/>
      <c r="AC584" s="8"/>
    </row>
    <row r="585" spans="2:29" ht="15" x14ac:dyDescent="0.2">
      <c r="B585" s="8"/>
      <c r="K585" s="8"/>
      <c r="T585" s="8"/>
      <c r="AC585" s="8"/>
    </row>
    <row r="586" spans="2:29" ht="15" x14ac:dyDescent="0.2">
      <c r="B586" s="8"/>
      <c r="K586" s="8"/>
      <c r="T586" s="8"/>
      <c r="AC586" s="8"/>
    </row>
    <row r="587" spans="2:29" ht="15" x14ac:dyDescent="0.2">
      <c r="B587" s="8"/>
      <c r="K587" s="8"/>
      <c r="T587" s="8"/>
      <c r="AC587" s="8"/>
    </row>
    <row r="588" spans="2:29" ht="15" x14ac:dyDescent="0.2">
      <c r="B588" s="8"/>
      <c r="K588" s="8"/>
      <c r="T588" s="8"/>
      <c r="AC588" s="8"/>
    </row>
    <row r="589" spans="2:29" ht="15" x14ac:dyDescent="0.2">
      <c r="B589" s="8"/>
      <c r="K589" s="8"/>
      <c r="T589" s="8"/>
      <c r="AC589" s="8"/>
    </row>
    <row r="590" spans="2:29" ht="15" x14ac:dyDescent="0.2">
      <c r="B590" s="8"/>
      <c r="K590" s="8"/>
      <c r="T590" s="8"/>
      <c r="AC590" s="8"/>
    </row>
    <row r="591" spans="2:29" ht="15" x14ac:dyDescent="0.2">
      <c r="B591" s="8"/>
      <c r="K591" s="8"/>
      <c r="T591" s="8"/>
      <c r="AC591" s="8"/>
    </row>
    <row r="592" spans="2:29" ht="15" x14ac:dyDescent="0.2">
      <c r="B592" s="8"/>
      <c r="K592" s="8"/>
      <c r="T592" s="8"/>
      <c r="AC592" s="8"/>
    </row>
    <row r="593" spans="2:29" ht="15" x14ac:dyDescent="0.2">
      <c r="B593" s="8"/>
      <c r="K593" s="8"/>
      <c r="T593" s="8"/>
      <c r="AC593" s="8"/>
    </row>
    <row r="594" spans="2:29" ht="15" x14ac:dyDescent="0.2">
      <c r="B594" s="8"/>
      <c r="K594" s="8"/>
      <c r="T594" s="8"/>
      <c r="AC594" s="8"/>
    </row>
    <row r="595" spans="2:29" ht="15" x14ac:dyDescent="0.2">
      <c r="B595" s="8"/>
      <c r="K595" s="8"/>
      <c r="T595" s="8"/>
      <c r="AC595" s="8"/>
    </row>
    <row r="596" spans="2:29" ht="15" x14ac:dyDescent="0.2">
      <c r="B596" s="8"/>
      <c r="K596" s="8"/>
      <c r="T596" s="8"/>
      <c r="AC596" s="8"/>
    </row>
    <row r="597" spans="2:29" ht="15" x14ac:dyDescent="0.2">
      <c r="B597" s="8"/>
      <c r="K597" s="8"/>
      <c r="T597" s="8"/>
      <c r="AC597" s="8"/>
    </row>
    <row r="598" spans="2:29" ht="15" x14ac:dyDescent="0.2">
      <c r="B598" s="8"/>
      <c r="K598" s="8"/>
      <c r="T598" s="8"/>
      <c r="AC598" s="8"/>
    </row>
    <row r="599" spans="2:29" ht="15" x14ac:dyDescent="0.2">
      <c r="B599" s="8"/>
      <c r="K599" s="8"/>
      <c r="T599" s="8"/>
      <c r="AC599" s="8"/>
    </row>
    <row r="600" spans="2:29" ht="15" x14ac:dyDescent="0.2">
      <c r="B600" s="8"/>
      <c r="K600" s="8"/>
      <c r="T600" s="8"/>
      <c r="AC600" s="8"/>
    </row>
    <row r="601" spans="2:29" ht="15" x14ac:dyDescent="0.2">
      <c r="B601" s="8"/>
      <c r="K601" s="8"/>
      <c r="T601" s="8"/>
      <c r="AC601" s="8"/>
    </row>
    <row r="602" spans="2:29" ht="15" x14ac:dyDescent="0.2">
      <c r="B602" s="8"/>
      <c r="K602" s="8"/>
      <c r="T602" s="8"/>
      <c r="AC602" s="8"/>
    </row>
    <row r="603" spans="2:29" ht="15" x14ac:dyDescent="0.2">
      <c r="B603" s="8"/>
      <c r="K603" s="8"/>
      <c r="T603" s="8"/>
      <c r="AC603" s="8"/>
    </row>
    <row r="604" spans="2:29" ht="15" x14ac:dyDescent="0.2">
      <c r="B604" s="8"/>
      <c r="K604" s="8"/>
      <c r="T604" s="8"/>
      <c r="AC604" s="8"/>
    </row>
    <row r="605" spans="2:29" ht="15" x14ac:dyDescent="0.2">
      <c r="B605" s="8"/>
      <c r="K605" s="8"/>
      <c r="T605" s="8"/>
      <c r="AC605" s="8"/>
    </row>
    <row r="606" spans="2:29" ht="15" x14ac:dyDescent="0.2">
      <c r="B606" s="8"/>
      <c r="K606" s="8"/>
      <c r="T606" s="8"/>
      <c r="AC606" s="8"/>
    </row>
    <row r="607" spans="2:29" ht="15" x14ac:dyDescent="0.2">
      <c r="B607" s="8"/>
      <c r="K607" s="8"/>
      <c r="T607" s="8"/>
      <c r="AC607" s="8"/>
    </row>
    <row r="608" spans="2:29" ht="15" x14ac:dyDescent="0.2">
      <c r="B608" s="8"/>
      <c r="K608" s="8"/>
      <c r="T608" s="8"/>
      <c r="AC608" s="8"/>
    </row>
    <row r="609" spans="2:29" ht="15" x14ac:dyDescent="0.2">
      <c r="B609" s="8"/>
      <c r="K609" s="8"/>
      <c r="T609" s="8"/>
      <c r="AC609" s="8"/>
    </row>
    <row r="610" spans="2:29" ht="15" x14ac:dyDescent="0.2">
      <c r="B610" s="8"/>
      <c r="K610" s="8"/>
      <c r="T610" s="8"/>
      <c r="AC610" s="8"/>
    </row>
    <row r="611" spans="2:29" ht="15" x14ac:dyDescent="0.2">
      <c r="B611" s="8"/>
      <c r="K611" s="8"/>
      <c r="T611" s="8"/>
      <c r="AC611" s="8"/>
    </row>
    <row r="612" spans="2:29" ht="15" x14ac:dyDescent="0.2">
      <c r="B612" s="8"/>
      <c r="K612" s="8"/>
      <c r="T612" s="8"/>
      <c r="AC612" s="8"/>
    </row>
    <row r="613" spans="2:29" ht="15" x14ac:dyDescent="0.2">
      <c r="B613" s="8"/>
      <c r="K613" s="8"/>
      <c r="T613" s="8"/>
      <c r="AC613" s="8"/>
    </row>
    <row r="614" spans="2:29" ht="15" x14ac:dyDescent="0.2">
      <c r="B614" s="8"/>
      <c r="K614" s="8"/>
      <c r="T614" s="8"/>
      <c r="AC614" s="8"/>
    </row>
    <row r="615" spans="2:29" ht="15" x14ac:dyDescent="0.2">
      <c r="B615" s="8"/>
      <c r="K615" s="8"/>
      <c r="T615" s="8"/>
      <c r="AC615" s="8"/>
    </row>
    <row r="616" spans="2:29" ht="15" x14ac:dyDescent="0.2">
      <c r="B616" s="8"/>
      <c r="K616" s="8"/>
      <c r="T616" s="8"/>
      <c r="AC616" s="8"/>
    </row>
    <row r="617" spans="2:29" ht="15" x14ac:dyDescent="0.2">
      <c r="B617" s="8"/>
      <c r="K617" s="8"/>
      <c r="T617" s="8"/>
      <c r="AC617" s="8"/>
    </row>
    <row r="618" spans="2:29" ht="15" x14ac:dyDescent="0.2">
      <c r="B618" s="8"/>
      <c r="K618" s="8"/>
      <c r="T618" s="8"/>
      <c r="AC618" s="8"/>
    </row>
    <row r="619" spans="2:29" ht="15" x14ac:dyDescent="0.2">
      <c r="B619" s="8"/>
      <c r="K619" s="8"/>
      <c r="T619" s="8"/>
      <c r="AC619" s="8"/>
    </row>
    <row r="620" spans="2:29" ht="15" x14ac:dyDescent="0.2">
      <c r="B620" s="8"/>
      <c r="K620" s="8"/>
      <c r="T620" s="8"/>
      <c r="AC620" s="8"/>
    </row>
    <row r="621" spans="2:29" ht="15" x14ac:dyDescent="0.2">
      <c r="B621" s="8"/>
      <c r="K621" s="8"/>
      <c r="T621" s="8"/>
      <c r="AC621" s="8"/>
    </row>
    <row r="622" spans="2:29" ht="15" x14ac:dyDescent="0.2">
      <c r="B622" s="8"/>
      <c r="K622" s="8"/>
      <c r="T622" s="8"/>
      <c r="AC622" s="8"/>
    </row>
    <row r="623" spans="2:29" ht="15" x14ac:dyDescent="0.2">
      <c r="B623" s="8"/>
      <c r="K623" s="8"/>
      <c r="T623" s="8"/>
      <c r="AC623" s="8"/>
    </row>
    <row r="624" spans="2:29" ht="15" x14ac:dyDescent="0.2">
      <c r="B624" s="8"/>
      <c r="K624" s="8"/>
      <c r="T624" s="8"/>
      <c r="AC624" s="8"/>
    </row>
    <row r="625" spans="2:29" ht="15" x14ac:dyDescent="0.2">
      <c r="B625" s="8"/>
      <c r="K625" s="8"/>
      <c r="T625" s="8"/>
      <c r="AC625" s="8"/>
    </row>
    <row r="626" spans="2:29" ht="15" x14ac:dyDescent="0.2">
      <c r="B626" s="8"/>
      <c r="K626" s="8"/>
      <c r="T626" s="8"/>
      <c r="AC626" s="8"/>
    </row>
    <row r="627" spans="2:29" ht="15" x14ac:dyDescent="0.2">
      <c r="B627" s="8"/>
      <c r="K627" s="8"/>
      <c r="T627" s="8"/>
      <c r="AC627" s="8"/>
    </row>
    <row r="628" spans="2:29" ht="15" x14ac:dyDescent="0.2">
      <c r="B628" s="8"/>
      <c r="K628" s="8"/>
      <c r="T628" s="8"/>
      <c r="AC628" s="8"/>
    </row>
    <row r="629" spans="2:29" ht="15" x14ac:dyDescent="0.2">
      <c r="B629" s="8"/>
      <c r="K629" s="8"/>
      <c r="T629" s="8"/>
      <c r="AC629" s="8"/>
    </row>
    <row r="630" spans="2:29" ht="15" x14ac:dyDescent="0.2">
      <c r="B630" s="8"/>
      <c r="K630" s="8"/>
      <c r="T630" s="8"/>
      <c r="AC630" s="8"/>
    </row>
    <row r="631" spans="2:29" ht="15" x14ac:dyDescent="0.2">
      <c r="B631" s="8"/>
      <c r="K631" s="8"/>
      <c r="T631" s="8"/>
      <c r="AC631" s="8"/>
    </row>
    <row r="632" spans="2:29" ht="15" x14ac:dyDescent="0.2">
      <c r="B632" s="8"/>
      <c r="K632" s="8"/>
      <c r="T632" s="8"/>
      <c r="AC632" s="8"/>
    </row>
    <row r="633" spans="2:29" ht="15" x14ac:dyDescent="0.2">
      <c r="B633" s="8"/>
      <c r="K633" s="8"/>
      <c r="T633" s="8"/>
      <c r="AC633" s="8"/>
    </row>
    <row r="634" spans="2:29" ht="15" x14ac:dyDescent="0.2">
      <c r="B634" s="8"/>
      <c r="K634" s="8"/>
      <c r="T634" s="8"/>
      <c r="AC634" s="8"/>
    </row>
    <row r="635" spans="2:29" ht="15" x14ac:dyDescent="0.2">
      <c r="B635" s="8"/>
      <c r="K635" s="8"/>
      <c r="T635" s="8"/>
      <c r="AC635" s="8"/>
    </row>
    <row r="636" spans="2:29" ht="15" x14ac:dyDescent="0.2">
      <c r="B636" s="8"/>
      <c r="K636" s="8"/>
      <c r="T636" s="8"/>
      <c r="AC636" s="8"/>
    </row>
    <row r="637" spans="2:29" ht="15" x14ac:dyDescent="0.2">
      <c r="B637" s="8"/>
      <c r="K637" s="8"/>
      <c r="T637" s="8"/>
      <c r="AC637" s="8"/>
    </row>
    <row r="638" spans="2:29" ht="15" x14ac:dyDescent="0.2">
      <c r="B638" s="8"/>
      <c r="K638" s="8"/>
      <c r="T638" s="8"/>
      <c r="AC638" s="8"/>
    </row>
    <row r="639" spans="2:29" ht="15" x14ac:dyDescent="0.2">
      <c r="B639" s="8"/>
      <c r="K639" s="8"/>
      <c r="T639" s="8"/>
      <c r="AC639" s="8"/>
    </row>
    <row r="640" spans="2:29" ht="15" x14ac:dyDescent="0.2">
      <c r="B640" s="8"/>
      <c r="K640" s="8"/>
      <c r="T640" s="8"/>
      <c r="AC640" s="8"/>
    </row>
    <row r="641" spans="2:29" ht="15" x14ac:dyDescent="0.2">
      <c r="B641" s="8"/>
      <c r="K641" s="8"/>
      <c r="T641" s="8"/>
      <c r="AC641" s="8"/>
    </row>
    <row r="642" spans="2:29" ht="15" x14ac:dyDescent="0.2">
      <c r="B642" s="8"/>
      <c r="K642" s="8"/>
      <c r="T642" s="8"/>
      <c r="AC642" s="8"/>
    </row>
    <row r="643" spans="2:29" ht="15" x14ac:dyDescent="0.2">
      <c r="B643" s="8"/>
      <c r="K643" s="8"/>
      <c r="T643" s="8"/>
      <c r="AC643" s="8"/>
    </row>
    <row r="644" spans="2:29" ht="15" x14ac:dyDescent="0.2">
      <c r="B644" s="8"/>
      <c r="K644" s="8"/>
      <c r="T644" s="8"/>
      <c r="AC644" s="8"/>
    </row>
    <row r="645" spans="2:29" ht="15" x14ac:dyDescent="0.2">
      <c r="B645" s="8"/>
      <c r="K645" s="8"/>
      <c r="T645" s="8"/>
      <c r="AC645" s="8"/>
    </row>
    <row r="646" spans="2:29" ht="15" x14ac:dyDescent="0.2">
      <c r="B646" s="8"/>
      <c r="K646" s="8"/>
      <c r="T646" s="8"/>
      <c r="AC646" s="8"/>
    </row>
    <row r="647" spans="2:29" ht="15" x14ac:dyDescent="0.2">
      <c r="B647" s="8"/>
      <c r="K647" s="8"/>
      <c r="T647" s="8"/>
      <c r="AC647" s="8"/>
    </row>
    <row r="648" spans="2:29" ht="15" x14ac:dyDescent="0.2">
      <c r="B648" s="8"/>
      <c r="K648" s="8"/>
      <c r="T648" s="8"/>
      <c r="AC648" s="8"/>
    </row>
    <row r="649" spans="2:29" ht="15" x14ac:dyDescent="0.2">
      <c r="B649" s="8"/>
      <c r="K649" s="8"/>
      <c r="T649" s="8"/>
      <c r="AC649" s="8"/>
    </row>
    <row r="650" spans="2:29" ht="15" x14ac:dyDescent="0.2">
      <c r="B650" s="8"/>
      <c r="K650" s="8"/>
      <c r="T650" s="8"/>
      <c r="AC650" s="8"/>
    </row>
    <row r="651" spans="2:29" ht="15" x14ac:dyDescent="0.2">
      <c r="B651" s="8"/>
      <c r="K651" s="8"/>
      <c r="T651" s="8"/>
      <c r="AC651" s="8"/>
    </row>
    <row r="652" spans="2:29" ht="15" x14ac:dyDescent="0.2">
      <c r="B652" s="8"/>
      <c r="K652" s="8"/>
      <c r="T652" s="8"/>
      <c r="AC652" s="8"/>
    </row>
    <row r="653" spans="2:29" ht="15" x14ac:dyDescent="0.2">
      <c r="B653" s="8"/>
      <c r="K653" s="8"/>
      <c r="T653" s="8"/>
      <c r="AC653" s="8"/>
    </row>
    <row r="654" spans="2:29" ht="15" x14ac:dyDescent="0.2">
      <c r="B654" s="8"/>
      <c r="K654" s="8"/>
      <c r="T654" s="8"/>
      <c r="AC654" s="8"/>
    </row>
    <row r="655" spans="2:29" ht="15" x14ac:dyDescent="0.2">
      <c r="B655" s="8"/>
      <c r="K655" s="8"/>
      <c r="T655" s="8"/>
      <c r="AC655" s="8"/>
    </row>
    <row r="656" spans="2:29" ht="15" x14ac:dyDescent="0.2">
      <c r="B656" s="8"/>
      <c r="K656" s="8"/>
      <c r="T656" s="8"/>
      <c r="AC656" s="8"/>
    </row>
    <row r="657" spans="2:29" ht="15" x14ac:dyDescent="0.2">
      <c r="B657" s="8"/>
      <c r="K657" s="8"/>
      <c r="T657" s="8"/>
      <c r="AC657" s="8"/>
    </row>
    <row r="658" spans="2:29" ht="15" x14ac:dyDescent="0.2">
      <c r="B658" s="8"/>
      <c r="K658" s="8"/>
      <c r="T658" s="8"/>
      <c r="AC658" s="8"/>
    </row>
    <row r="659" spans="2:29" ht="15" x14ac:dyDescent="0.2">
      <c r="B659" s="8"/>
      <c r="K659" s="8"/>
      <c r="T659" s="8"/>
      <c r="AC659" s="8"/>
    </row>
    <row r="660" spans="2:29" ht="15" x14ac:dyDescent="0.2">
      <c r="B660" s="8"/>
      <c r="K660" s="8"/>
      <c r="T660" s="8"/>
      <c r="AC660" s="8"/>
    </row>
    <row r="661" spans="2:29" ht="15" x14ac:dyDescent="0.2">
      <c r="B661" s="8"/>
      <c r="K661" s="8"/>
      <c r="T661" s="8"/>
      <c r="AC661" s="8"/>
    </row>
    <row r="662" spans="2:29" ht="15" x14ac:dyDescent="0.2">
      <c r="B662" s="8"/>
      <c r="K662" s="8"/>
      <c r="T662" s="8"/>
      <c r="AC662" s="8"/>
    </row>
    <row r="663" spans="2:29" ht="15" x14ac:dyDescent="0.2">
      <c r="B663" s="8"/>
      <c r="K663" s="8"/>
      <c r="T663" s="8"/>
      <c r="AC663" s="8"/>
    </row>
    <row r="664" spans="2:29" ht="15" x14ac:dyDescent="0.2">
      <c r="B664" s="8"/>
      <c r="K664" s="8"/>
      <c r="T664" s="8"/>
      <c r="AC664" s="8"/>
    </row>
    <row r="665" spans="2:29" ht="15" x14ac:dyDescent="0.2">
      <c r="B665" s="8"/>
      <c r="K665" s="8"/>
      <c r="T665" s="8"/>
      <c r="AC665" s="8"/>
    </row>
    <row r="666" spans="2:29" ht="15" x14ac:dyDescent="0.2">
      <c r="B666" s="8"/>
      <c r="K666" s="8"/>
      <c r="T666" s="8"/>
      <c r="AC666" s="8"/>
    </row>
    <row r="667" spans="2:29" ht="15" x14ac:dyDescent="0.2">
      <c r="B667" s="8"/>
      <c r="K667" s="8"/>
      <c r="T667" s="8"/>
      <c r="AC667" s="8"/>
    </row>
    <row r="668" spans="2:29" ht="15" x14ac:dyDescent="0.2">
      <c r="B668" s="8"/>
      <c r="K668" s="8"/>
      <c r="T668" s="8"/>
      <c r="AC668" s="8"/>
    </row>
    <row r="669" spans="2:29" ht="15" x14ac:dyDescent="0.2">
      <c r="B669" s="8"/>
      <c r="K669" s="8"/>
      <c r="T669" s="8"/>
      <c r="AC669" s="8"/>
    </row>
    <row r="670" spans="2:29" ht="15" x14ac:dyDescent="0.2">
      <c r="B670" s="8"/>
      <c r="K670" s="8"/>
      <c r="T670" s="8"/>
      <c r="AC670" s="8"/>
    </row>
    <row r="671" spans="2:29" ht="15" x14ac:dyDescent="0.2">
      <c r="B671" s="8"/>
      <c r="K671" s="8"/>
      <c r="T671" s="8"/>
      <c r="AC671" s="8"/>
    </row>
    <row r="672" spans="2:29" ht="15" x14ac:dyDescent="0.2">
      <c r="B672" s="8"/>
      <c r="K672" s="8"/>
      <c r="T672" s="8"/>
      <c r="AC672" s="8"/>
    </row>
    <row r="673" spans="2:29" ht="15" x14ac:dyDescent="0.2">
      <c r="B673" s="8"/>
      <c r="K673" s="8"/>
      <c r="T673" s="8"/>
      <c r="AC673" s="8"/>
    </row>
    <row r="674" spans="2:29" ht="15" x14ac:dyDescent="0.2">
      <c r="B674" s="8"/>
      <c r="K674" s="8"/>
      <c r="T674" s="8"/>
      <c r="AC674" s="8"/>
    </row>
    <row r="675" spans="2:29" ht="15" x14ac:dyDescent="0.2">
      <c r="B675" s="8"/>
      <c r="K675" s="8"/>
      <c r="T675" s="8"/>
      <c r="AC675" s="8"/>
    </row>
    <row r="676" spans="2:29" ht="15" x14ac:dyDescent="0.2">
      <c r="B676" s="8"/>
      <c r="K676" s="8"/>
      <c r="T676" s="8"/>
      <c r="AC676" s="8"/>
    </row>
    <row r="677" spans="2:29" ht="15" x14ac:dyDescent="0.2">
      <c r="B677" s="8"/>
      <c r="K677" s="8"/>
      <c r="T677" s="8"/>
      <c r="AC677" s="8"/>
    </row>
    <row r="678" spans="2:29" ht="15" x14ac:dyDescent="0.2">
      <c r="B678" s="8"/>
      <c r="K678" s="8"/>
      <c r="T678" s="8"/>
      <c r="AC678" s="8"/>
    </row>
    <row r="679" spans="2:29" ht="15" x14ac:dyDescent="0.2">
      <c r="B679" s="8"/>
      <c r="K679" s="8"/>
      <c r="T679" s="8"/>
      <c r="AC679" s="8"/>
    </row>
    <row r="680" spans="2:29" ht="15" x14ac:dyDescent="0.2">
      <c r="B680" s="8"/>
      <c r="K680" s="8"/>
      <c r="T680" s="8"/>
      <c r="AC680" s="8"/>
    </row>
    <row r="681" spans="2:29" ht="15" x14ac:dyDescent="0.2">
      <c r="B681" s="8"/>
      <c r="K681" s="8"/>
      <c r="T681" s="8"/>
      <c r="AC681" s="8"/>
    </row>
    <row r="682" spans="2:29" ht="15" x14ac:dyDescent="0.2">
      <c r="B682" s="8"/>
      <c r="K682" s="8"/>
      <c r="T682" s="8"/>
      <c r="AC682" s="8"/>
    </row>
    <row r="683" spans="2:29" ht="15" x14ac:dyDescent="0.2">
      <c r="B683" s="8"/>
      <c r="K683" s="8"/>
      <c r="T683" s="8"/>
      <c r="AC683" s="8"/>
    </row>
    <row r="684" spans="2:29" ht="15" x14ac:dyDescent="0.2">
      <c r="B684" s="8"/>
      <c r="K684" s="8"/>
      <c r="T684" s="8"/>
      <c r="AC684" s="8"/>
    </row>
    <row r="685" spans="2:29" ht="15" x14ac:dyDescent="0.2">
      <c r="B685" s="8"/>
      <c r="K685" s="8"/>
      <c r="T685" s="8"/>
      <c r="AC685" s="8"/>
    </row>
    <row r="686" spans="2:29" ht="15" x14ac:dyDescent="0.2">
      <c r="B686" s="8"/>
      <c r="K686" s="8"/>
      <c r="T686" s="8"/>
      <c r="AC686" s="8"/>
    </row>
    <row r="687" spans="2:29" ht="15" x14ac:dyDescent="0.2">
      <c r="B687" s="8"/>
      <c r="K687" s="8"/>
      <c r="T687" s="8"/>
      <c r="AC687" s="8"/>
    </row>
    <row r="688" spans="2:29" ht="15" x14ac:dyDescent="0.2">
      <c r="B688" s="8"/>
      <c r="K688" s="8"/>
      <c r="T688" s="8"/>
      <c r="AC688" s="8"/>
    </row>
    <row r="689" spans="2:29" ht="15" x14ac:dyDescent="0.2">
      <c r="B689" s="8"/>
      <c r="K689" s="8"/>
      <c r="T689" s="8"/>
      <c r="AC689" s="8"/>
    </row>
    <row r="690" spans="2:29" ht="15" x14ac:dyDescent="0.2">
      <c r="B690" s="8"/>
      <c r="K690" s="8"/>
      <c r="T690" s="8"/>
      <c r="AC690" s="8"/>
    </row>
    <row r="691" spans="2:29" ht="15" x14ac:dyDescent="0.2">
      <c r="B691" s="8"/>
      <c r="K691" s="8"/>
      <c r="T691" s="8"/>
      <c r="AC691" s="8"/>
    </row>
    <row r="692" spans="2:29" ht="15" x14ac:dyDescent="0.2">
      <c r="B692" s="8"/>
      <c r="K692" s="8"/>
      <c r="T692" s="8"/>
      <c r="AC692" s="8"/>
    </row>
    <row r="693" spans="2:29" ht="15" x14ac:dyDescent="0.2">
      <c r="B693" s="8"/>
      <c r="K693" s="8"/>
      <c r="T693" s="8"/>
      <c r="AC693" s="8"/>
    </row>
    <row r="694" spans="2:29" ht="15" x14ac:dyDescent="0.2">
      <c r="B694" s="8"/>
      <c r="K694" s="8"/>
      <c r="T694" s="8"/>
      <c r="AC694" s="8"/>
    </row>
    <row r="695" spans="2:29" ht="15" x14ac:dyDescent="0.2">
      <c r="B695" s="8"/>
      <c r="K695" s="8"/>
      <c r="T695" s="8"/>
      <c r="AC695" s="8"/>
    </row>
    <row r="696" spans="2:29" ht="15" x14ac:dyDescent="0.2">
      <c r="B696" s="8"/>
      <c r="K696" s="8"/>
      <c r="T696" s="8"/>
      <c r="AC696" s="8"/>
    </row>
    <row r="697" spans="2:29" ht="15" x14ac:dyDescent="0.2">
      <c r="B697" s="8"/>
      <c r="K697" s="8"/>
      <c r="T697" s="8"/>
      <c r="AC697" s="8"/>
    </row>
    <row r="698" spans="2:29" ht="15" x14ac:dyDescent="0.2">
      <c r="B698" s="8"/>
      <c r="K698" s="8"/>
      <c r="T698" s="8"/>
      <c r="AC698" s="8"/>
    </row>
    <row r="699" spans="2:29" ht="15" x14ac:dyDescent="0.2">
      <c r="B699" s="8"/>
      <c r="K699" s="8"/>
      <c r="T699" s="8"/>
      <c r="AC699" s="8"/>
    </row>
    <row r="700" spans="2:29" ht="15" x14ac:dyDescent="0.2">
      <c r="B700" s="8"/>
      <c r="K700" s="8"/>
      <c r="T700" s="8"/>
      <c r="AC700" s="8"/>
    </row>
    <row r="701" spans="2:29" ht="15" x14ac:dyDescent="0.2">
      <c r="B701" s="8"/>
      <c r="K701" s="8"/>
      <c r="T701" s="8"/>
      <c r="AC701" s="8"/>
    </row>
    <row r="702" spans="2:29" ht="15" x14ac:dyDescent="0.2">
      <c r="B702" s="8"/>
      <c r="K702" s="8"/>
      <c r="T702" s="8"/>
      <c r="AC702" s="8"/>
    </row>
    <row r="703" spans="2:29" ht="15" x14ac:dyDescent="0.2">
      <c r="B703" s="8"/>
      <c r="K703" s="8"/>
      <c r="T703" s="8"/>
      <c r="AC703" s="8"/>
    </row>
    <row r="704" spans="2:29" ht="15" x14ac:dyDescent="0.2">
      <c r="B704" s="8"/>
      <c r="K704" s="8"/>
      <c r="T704" s="8"/>
      <c r="AC704" s="8"/>
    </row>
    <row r="705" spans="2:29" ht="15" x14ac:dyDescent="0.2">
      <c r="B705" s="8"/>
      <c r="K705" s="8"/>
      <c r="T705" s="8"/>
      <c r="AC705" s="8"/>
    </row>
    <row r="706" spans="2:29" ht="15" x14ac:dyDescent="0.2">
      <c r="B706" s="8"/>
      <c r="K706" s="8"/>
      <c r="T706" s="8"/>
      <c r="AC706" s="8"/>
    </row>
    <row r="707" spans="2:29" ht="15" x14ac:dyDescent="0.2">
      <c r="B707" s="8"/>
      <c r="K707" s="8"/>
      <c r="T707" s="8"/>
      <c r="AC707" s="8"/>
    </row>
    <row r="708" spans="2:29" ht="15" x14ac:dyDescent="0.2">
      <c r="B708" s="8"/>
      <c r="K708" s="8"/>
      <c r="T708" s="8"/>
      <c r="AC708" s="8"/>
    </row>
    <row r="709" spans="2:29" ht="15" x14ac:dyDescent="0.2">
      <c r="B709" s="8"/>
      <c r="K709" s="8"/>
      <c r="T709" s="8"/>
      <c r="AC709" s="8"/>
    </row>
    <row r="710" spans="2:29" ht="15" x14ac:dyDescent="0.2">
      <c r="B710" s="8"/>
      <c r="K710" s="8"/>
      <c r="T710" s="8"/>
      <c r="AC710" s="8"/>
    </row>
    <row r="711" spans="2:29" ht="15" x14ac:dyDescent="0.2">
      <c r="B711" s="8"/>
      <c r="K711" s="8"/>
      <c r="T711" s="8"/>
      <c r="AC711" s="8"/>
    </row>
    <row r="712" spans="2:29" ht="15" x14ac:dyDescent="0.2">
      <c r="B712" s="8"/>
      <c r="K712" s="8"/>
      <c r="T712" s="8"/>
      <c r="AC712" s="8"/>
    </row>
    <row r="713" spans="2:29" ht="15" x14ac:dyDescent="0.2">
      <c r="B713" s="8"/>
      <c r="K713" s="8"/>
      <c r="T713" s="8"/>
      <c r="AC713" s="8"/>
    </row>
    <row r="714" spans="2:29" ht="15" x14ac:dyDescent="0.2">
      <c r="B714" s="8"/>
      <c r="K714" s="8"/>
      <c r="T714" s="8"/>
      <c r="AC714" s="8"/>
    </row>
    <row r="715" spans="2:29" ht="15" x14ac:dyDescent="0.2">
      <c r="B715" s="8"/>
      <c r="K715" s="8"/>
      <c r="T715" s="8"/>
      <c r="AC715" s="8"/>
    </row>
    <row r="716" spans="2:29" ht="15" x14ac:dyDescent="0.2">
      <c r="B716" s="8"/>
      <c r="K716" s="8"/>
      <c r="T716" s="8"/>
      <c r="AC716" s="8"/>
    </row>
    <row r="717" spans="2:29" ht="15" x14ac:dyDescent="0.2">
      <c r="B717" s="8"/>
      <c r="K717" s="8"/>
      <c r="T717" s="8"/>
      <c r="AC717" s="8"/>
    </row>
    <row r="718" spans="2:29" ht="15" x14ac:dyDescent="0.2">
      <c r="B718" s="8"/>
      <c r="K718" s="8"/>
      <c r="T718" s="8"/>
      <c r="AC718" s="8"/>
    </row>
    <row r="719" spans="2:29" ht="15" x14ac:dyDescent="0.2">
      <c r="B719" s="8"/>
      <c r="K719" s="8"/>
      <c r="T719" s="8"/>
      <c r="AC719" s="8"/>
    </row>
    <row r="720" spans="2:29" ht="15" x14ac:dyDescent="0.2">
      <c r="B720" s="8"/>
      <c r="K720" s="8"/>
      <c r="T720" s="8"/>
      <c r="AC720" s="8"/>
    </row>
    <row r="721" spans="2:29" ht="15" x14ac:dyDescent="0.2">
      <c r="B721" s="8"/>
      <c r="K721" s="8"/>
      <c r="T721" s="8"/>
      <c r="AC721" s="8"/>
    </row>
    <row r="722" spans="2:29" ht="15" x14ac:dyDescent="0.2">
      <c r="B722" s="8"/>
      <c r="K722" s="8"/>
      <c r="T722" s="8"/>
      <c r="AC722" s="8"/>
    </row>
    <row r="723" spans="2:29" ht="15" x14ac:dyDescent="0.2">
      <c r="B723" s="8"/>
      <c r="K723" s="8"/>
      <c r="T723" s="8"/>
      <c r="AC723" s="8"/>
    </row>
    <row r="724" spans="2:29" ht="15" x14ac:dyDescent="0.2">
      <c r="B724" s="8"/>
      <c r="K724" s="8"/>
      <c r="T724" s="8"/>
      <c r="AC724" s="8"/>
    </row>
    <row r="725" spans="2:29" ht="15" x14ac:dyDescent="0.2">
      <c r="B725" s="8"/>
      <c r="K725" s="8"/>
      <c r="T725" s="8"/>
      <c r="AC725" s="8"/>
    </row>
    <row r="726" spans="2:29" ht="15" x14ac:dyDescent="0.2">
      <c r="B726" s="8"/>
      <c r="K726" s="8"/>
      <c r="T726" s="8"/>
      <c r="AC726" s="8"/>
    </row>
    <row r="727" spans="2:29" ht="15" x14ac:dyDescent="0.2">
      <c r="B727" s="8"/>
      <c r="K727" s="8"/>
      <c r="T727" s="8"/>
      <c r="AC727" s="8"/>
    </row>
    <row r="728" spans="2:29" ht="15" x14ac:dyDescent="0.2">
      <c r="B728" s="8"/>
      <c r="K728" s="8"/>
      <c r="T728" s="8"/>
      <c r="AC728" s="8"/>
    </row>
    <row r="729" spans="2:29" ht="15" x14ac:dyDescent="0.2">
      <c r="B729" s="8"/>
      <c r="K729" s="8"/>
      <c r="T729" s="8"/>
      <c r="AC729" s="8"/>
    </row>
    <row r="730" spans="2:29" ht="15" x14ac:dyDescent="0.2">
      <c r="B730" s="8"/>
      <c r="K730" s="8"/>
      <c r="T730" s="8"/>
      <c r="AC730" s="8"/>
    </row>
    <row r="731" spans="2:29" ht="15" x14ac:dyDescent="0.2">
      <c r="B731" s="8"/>
      <c r="K731" s="8"/>
      <c r="T731" s="8"/>
      <c r="AC731" s="8"/>
    </row>
    <row r="732" spans="2:29" ht="15" x14ac:dyDescent="0.2">
      <c r="B732" s="8"/>
      <c r="K732" s="8"/>
      <c r="T732" s="8"/>
      <c r="AC732" s="8"/>
    </row>
    <row r="733" spans="2:29" ht="15" x14ac:dyDescent="0.2">
      <c r="B733" s="8"/>
      <c r="K733" s="8"/>
      <c r="T733" s="8"/>
      <c r="AC733" s="8"/>
    </row>
    <row r="734" spans="2:29" ht="15" x14ac:dyDescent="0.2">
      <c r="B734" s="8"/>
      <c r="K734" s="8"/>
      <c r="T734" s="8"/>
      <c r="AC734" s="8"/>
    </row>
    <row r="735" spans="2:29" ht="15" x14ac:dyDescent="0.2">
      <c r="B735" s="8"/>
      <c r="K735" s="8"/>
      <c r="T735" s="8"/>
      <c r="AC735" s="8"/>
    </row>
    <row r="736" spans="2:29" ht="15" x14ac:dyDescent="0.2">
      <c r="B736" s="8"/>
      <c r="K736" s="8"/>
      <c r="T736" s="8"/>
      <c r="AC736" s="8"/>
    </row>
    <row r="737" spans="2:29" ht="15" x14ac:dyDescent="0.2">
      <c r="B737" s="8"/>
      <c r="K737" s="8"/>
      <c r="T737" s="8"/>
      <c r="AC737" s="8"/>
    </row>
    <row r="738" spans="2:29" ht="15" x14ac:dyDescent="0.2">
      <c r="B738" s="8"/>
      <c r="K738" s="8"/>
      <c r="T738" s="8"/>
      <c r="AC738" s="8"/>
    </row>
    <row r="739" spans="2:29" ht="15" x14ac:dyDescent="0.2">
      <c r="B739" s="8"/>
      <c r="K739" s="8"/>
      <c r="T739" s="8"/>
      <c r="AC739" s="8"/>
    </row>
    <row r="740" spans="2:29" ht="15" x14ac:dyDescent="0.2">
      <c r="B740" s="8"/>
      <c r="K740" s="8"/>
      <c r="T740" s="8"/>
      <c r="AC740" s="8"/>
    </row>
    <row r="741" spans="2:29" ht="15" x14ac:dyDescent="0.2">
      <c r="B741" s="8"/>
      <c r="K741" s="8"/>
      <c r="T741" s="8"/>
      <c r="AC741" s="8"/>
    </row>
    <row r="742" spans="2:29" ht="15" x14ac:dyDescent="0.2">
      <c r="B742" s="8"/>
      <c r="K742" s="8"/>
      <c r="T742" s="8"/>
      <c r="AC742" s="8"/>
    </row>
    <row r="743" spans="2:29" ht="15" x14ac:dyDescent="0.2">
      <c r="B743" s="8"/>
      <c r="K743" s="8"/>
      <c r="T743" s="8"/>
      <c r="AC743" s="8"/>
    </row>
    <row r="744" spans="2:29" ht="15" x14ac:dyDescent="0.2">
      <c r="B744" s="8"/>
      <c r="K744" s="8"/>
      <c r="T744" s="8"/>
      <c r="AC744" s="8"/>
    </row>
    <row r="745" spans="2:29" ht="15" x14ac:dyDescent="0.2">
      <c r="B745" s="8"/>
      <c r="K745" s="8"/>
      <c r="T745" s="8"/>
      <c r="AC745" s="8"/>
    </row>
    <row r="746" spans="2:29" ht="15" x14ac:dyDescent="0.2">
      <c r="B746" s="8"/>
      <c r="K746" s="8"/>
      <c r="T746" s="8"/>
      <c r="AC746" s="8"/>
    </row>
    <row r="747" spans="2:29" ht="15" x14ac:dyDescent="0.2">
      <c r="B747" s="8"/>
      <c r="K747" s="8"/>
      <c r="T747" s="8"/>
      <c r="AC747" s="8"/>
    </row>
    <row r="748" spans="2:29" ht="15" x14ac:dyDescent="0.2">
      <c r="B748" s="8"/>
      <c r="K748" s="8"/>
      <c r="T748" s="8"/>
      <c r="AC748" s="8"/>
    </row>
    <row r="749" spans="2:29" ht="15" x14ac:dyDescent="0.2">
      <c r="B749" s="8"/>
      <c r="K749" s="8"/>
      <c r="T749" s="8"/>
      <c r="AC749" s="8"/>
    </row>
    <row r="750" spans="2:29" ht="15" x14ac:dyDescent="0.2">
      <c r="B750" s="8"/>
      <c r="K750" s="8"/>
      <c r="T750" s="8"/>
      <c r="AC750" s="8"/>
    </row>
    <row r="751" spans="2:29" ht="15" x14ac:dyDescent="0.2">
      <c r="B751" s="8"/>
      <c r="K751" s="8"/>
      <c r="T751" s="8"/>
      <c r="AC751" s="8"/>
    </row>
    <row r="752" spans="2:29" ht="15" x14ac:dyDescent="0.2">
      <c r="B752" s="8"/>
      <c r="K752" s="8"/>
      <c r="T752" s="8"/>
      <c r="AC752" s="8"/>
    </row>
    <row r="753" spans="2:29" ht="15" x14ac:dyDescent="0.2">
      <c r="B753" s="8"/>
      <c r="K753" s="8"/>
      <c r="T753" s="8"/>
      <c r="AC753" s="8"/>
    </row>
    <row r="754" spans="2:29" ht="15" x14ac:dyDescent="0.2">
      <c r="B754" s="8"/>
      <c r="K754" s="8"/>
      <c r="T754" s="8"/>
      <c r="AC754" s="8"/>
    </row>
    <row r="755" spans="2:29" ht="15" x14ac:dyDescent="0.2">
      <c r="B755" s="8"/>
      <c r="K755" s="8"/>
      <c r="T755" s="8"/>
      <c r="AC755" s="8"/>
    </row>
    <row r="756" spans="2:29" ht="15" x14ac:dyDescent="0.2">
      <c r="B756" s="8"/>
      <c r="K756" s="8"/>
      <c r="T756" s="8"/>
      <c r="AC756" s="8"/>
    </row>
    <row r="757" spans="2:29" ht="15" x14ac:dyDescent="0.2">
      <c r="B757" s="8"/>
      <c r="K757" s="8"/>
      <c r="T757" s="8"/>
      <c r="AC757" s="8"/>
    </row>
    <row r="758" spans="2:29" ht="15" x14ac:dyDescent="0.2">
      <c r="B758" s="8"/>
      <c r="K758" s="8"/>
      <c r="T758" s="8"/>
      <c r="AC758" s="8"/>
    </row>
    <row r="759" spans="2:29" ht="15" x14ac:dyDescent="0.2">
      <c r="B759" s="8"/>
      <c r="K759" s="8"/>
      <c r="T759" s="8"/>
      <c r="AC759" s="8"/>
    </row>
    <row r="760" spans="2:29" ht="15" x14ac:dyDescent="0.2">
      <c r="B760" s="8"/>
      <c r="K760" s="8"/>
      <c r="T760" s="8"/>
      <c r="AC760" s="8"/>
    </row>
    <row r="761" spans="2:29" ht="15" x14ac:dyDescent="0.2">
      <c r="B761" s="8"/>
      <c r="K761" s="8"/>
      <c r="T761" s="8"/>
      <c r="AC761" s="8"/>
    </row>
    <row r="762" spans="2:29" ht="15" x14ac:dyDescent="0.2">
      <c r="B762" s="8"/>
      <c r="K762" s="8"/>
      <c r="T762" s="8"/>
      <c r="AC762" s="8"/>
    </row>
    <row r="763" spans="2:29" ht="15" x14ac:dyDescent="0.2">
      <c r="B763" s="8"/>
      <c r="K763" s="8"/>
      <c r="T763" s="8"/>
      <c r="AC763" s="8"/>
    </row>
    <row r="764" spans="2:29" ht="15" x14ac:dyDescent="0.2">
      <c r="B764" s="8"/>
      <c r="K764" s="8"/>
      <c r="T764" s="8"/>
      <c r="AC764" s="8"/>
    </row>
    <row r="765" spans="2:29" ht="15" x14ac:dyDescent="0.2">
      <c r="B765" s="8"/>
      <c r="K765" s="8"/>
      <c r="T765" s="8"/>
      <c r="AC765" s="8"/>
    </row>
    <row r="766" spans="2:29" ht="15" x14ac:dyDescent="0.2">
      <c r="B766" s="8"/>
      <c r="K766" s="8"/>
      <c r="T766" s="8"/>
      <c r="AC766" s="8"/>
    </row>
    <row r="767" spans="2:29" ht="15" x14ac:dyDescent="0.2">
      <c r="B767" s="8"/>
      <c r="K767" s="8"/>
      <c r="T767" s="8"/>
      <c r="AC767" s="8"/>
    </row>
    <row r="768" spans="2:29" ht="15" x14ac:dyDescent="0.2">
      <c r="B768" s="8"/>
      <c r="K768" s="8"/>
      <c r="T768" s="8"/>
      <c r="AC768" s="8"/>
    </row>
    <row r="769" spans="2:29" ht="15" x14ac:dyDescent="0.2">
      <c r="B769" s="8"/>
      <c r="K769" s="8"/>
      <c r="T769" s="8"/>
      <c r="AC769" s="8"/>
    </row>
    <row r="770" spans="2:29" ht="15" x14ac:dyDescent="0.2">
      <c r="B770" s="8"/>
      <c r="K770" s="8"/>
      <c r="T770" s="8"/>
      <c r="AC770" s="8"/>
    </row>
    <row r="771" spans="2:29" ht="15" x14ac:dyDescent="0.2">
      <c r="B771" s="8"/>
      <c r="K771" s="8"/>
      <c r="T771" s="8"/>
      <c r="AC771" s="8"/>
    </row>
    <row r="772" spans="2:29" ht="15" x14ac:dyDescent="0.2">
      <c r="B772" s="8"/>
      <c r="K772" s="8"/>
      <c r="T772" s="8"/>
      <c r="AC772" s="8"/>
    </row>
    <row r="773" spans="2:29" ht="15" x14ac:dyDescent="0.2">
      <c r="B773" s="8"/>
      <c r="K773" s="8"/>
      <c r="T773" s="8"/>
      <c r="AC773" s="8"/>
    </row>
    <row r="774" spans="2:29" ht="15" x14ac:dyDescent="0.2">
      <c r="B774" s="8"/>
      <c r="K774" s="8"/>
      <c r="T774" s="8"/>
      <c r="AC774" s="8"/>
    </row>
    <row r="775" spans="2:29" ht="15" x14ac:dyDescent="0.2">
      <c r="B775" s="8"/>
      <c r="K775" s="8"/>
      <c r="T775" s="8"/>
      <c r="AC775" s="8"/>
    </row>
    <row r="776" spans="2:29" ht="15" x14ac:dyDescent="0.2">
      <c r="B776" s="8"/>
      <c r="K776" s="8"/>
      <c r="T776" s="8"/>
      <c r="AC776" s="8"/>
    </row>
    <row r="777" spans="2:29" ht="15" x14ac:dyDescent="0.2">
      <c r="B777" s="8"/>
      <c r="K777" s="8"/>
      <c r="T777" s="8"/>
      <c r="AC777" s="8"/>
    </row>
    <row r="778" spans="2:29" ht="15" x14ac:dyDescent="0.2">
      <c r="B778" s="8"/>
      <c r="K778" s="8"/>
      <c r="T778" s="8"/>
      <c r="AC778" s="8"/>
    </row>
    <row r="779" spans="2:29" ht="15" x14ac:dyDescent="0.2">
      <c r="B779" s="8"/>
      <c r="K779" s="8"/>
      <c r="T779" s="8"/>
      <c r="AC779" s="8"/>
    </row>
    <row r="780" spans="2:29" ht="15" x14ac:dyDescent="0.2">
      <c r="B780" s="8"/>
      <c r="K780" s="8"/>
      <c r="T780" s="8"/>
      <c r="AC780" s="8"/>
    </row>
    <row r="781" spans="2:29" ht="15" x14ac:dyDescent="0.2">
      <c r="B781" s="8"/>
      <c r="K781" s="8"/>
      <c r="T781" s="8"/>
      <c r="AC781" s="8"/>
    </row>
    <row r="782" spans="2:29" ht="15" x14ac:dyDescent="0.2">
      <c r="B782" s="8"/>
      <c r="K782" s="8"/>
      <c r="T782" s="8"/>
      <c r="AC782" s="8"/>
    </row>
    <row r="783" spans="2:29" ht="15" x14ac:dyDescent="0.2">
      <c r="B783" s="8"/>
      <c r="K783" s="8"/>
      <c r="T783" s="8"/>
      <c r="AC783" s="8"/>
    </row>
    <row r="784" spans="2:29" ht="15" x14ac:dyDescent="0.2">
      <c r="B784" s="8"/>
      <c r="K784" s="8"/>
      <c r="T784" s="8"/>
      <c r="AC784" s="8"/>
    </row>
    <row r="785" spans="2:29" ht="15" x14ac:dyDescent="0.2">
      <c r="B785" s="8"/>
      <c r="K785" s="8"/>
      <c r="T785" s="8"/>
      <c r="AC785" s="8"/>
    </row>
    <row r="786" spans="2:29" ht="15" x14ac:dyDescent="0.2">
      <c r="B786" s="8"/>
      <c r="K786" s="8"/>
      <c r="T786" s="8"/>
      <c r="AC786" s="8"/>
    </row>
    <row r="787" spans="2:29" ht="15" x14ac:dyDescent="0.2">
      <c r="B787" s="8"/>
      <c r="K787" s="8"/>
      <c r="T787" s="8"/>
      <c r="AC787" s="8"/>
    </row>
    <row r="788" spans="2:29" ht="15" x14ac:dyDescent="0.2">
      <c r="B788" s="8"/>
      <c r="K788" s="8"/>
      <c r="T788" s="8"/>
      <c r="AC788" s="8"/>
    </row>
    <row r="789" spans="2:29" ht="15" x14ac:dyDescent="0.2">
      <c r="B789" s="8"/>
      <c r="K789" s="8"/>
      <c r="T789" s="8"/>
      <c r="AC789" s="8"/>
    </row>
    <row r="790" spans="2:29" ht="15" x14ac:dyDescent="0.2">
      <c r="B790" s="8"/>
      <c r="K790" s="8"/>
      <c r="T790" s="8"/>
      <c r="AC790" s="8"/>
    </row>
    <row r="791" spans="2:29" ht="15" x14ac:dyDescent="0.2">
      <c r="B791" s="8"/>
      <c r="K791" s="8"/>
      <c r="T791" s="8"/>
      <c r="AC791" s="8"/>
    </row>
    <row r="792" spans="2:29" ht="15" x14ac:dyDescent="0.2">
      <c r="B792" s="8"/>
      <c r="K792" s="8"/>
      <c r="T792" s="8"/>
      <c r="AC792" s="8"/>
    </row>
    <row r="793" spans="2:29" ht="15" x14ac:dyDescent="0.2">
      <c r="B793" s="8"/>
      <c r="K793" s="8"/>
      <c r="T793" s="8"/>
      <c r="AC793" s="8"/>
    </row>
    <row r="794" spans="2:29" ht="15" x14ac:dyDescent="0.2">
      <c r="B794" s="8"/>
      <c r="K794" s="8"/>
      <c r="T794" s="8"/>
      <c r="AC794" s="8"/>
    </row>
    <row r="795" spans="2:29" ht="15" x14ac:dyDescent="0.2">
      <c r="B795" s="8"/>
      <c r="K795" s="8"/>
      <c r="T795" s="8"/>
      <c r="AC795" s="8"/>
    </row>
    <row r="796" spans="2:29" ht="15" x14ac:dyDescent="0.2">
      <c r="B796" s="8"/>
      <c r="K796" s="8"/>
      <c r="T796" s="8"/>
      <c r="AC796" s="8"/>
    </row>
    <row r="797" spans="2:29" ht="15" x14ac:dyDescent="0.2">
      <c r="B797" s="8"/>
      <c r="K797" s="8"/>
      <c r="T797" s="8"/>
      <c r="AC797" s="8"/>
    </row>
    <row r="798" spans="2:29" ht="15" x14ac:dyDescent="0.2">
      <c r="B798" s="8"/>
      <c r="K798" s="8"/>
      <c r="T798" s="8"/>
      <c r="AC798" s="8"/>
    </row>
    <row r="799" spans="2:29" ht="15" x14ac:dyDescent="0.2">
      <c r="B799" s="8"/>
      <c r="K799" s="8"/>
      <c r="T799" s="8"/>
      <c r="AC799" s="8"/>
    </row>
    <row r="800" spans="2:29" ht="15" x14ac:dyDescent="0.2">
      <c r="B800" s="8"/>
      <c r="K800" s="8"/>
      <c r="T800" s="8"/>
      <c r="AC800" s="8"/>
    </row>
    <row r="801" spans="2:29" ht="15" x14ac:dyDescent="0.2">
      <c r="B801" s="8"/>
      <c r="K801" s="8"/>
      <c r="T801" s="8"/>
      <c r="AC801" s="8"/>
    </row>
    <row r="802" spans="2:29" ht="15" x14ac:dyDescent="0.2">
      <c r="B802" s="8"/>
      <c r="K802" s="8"/>
      <c r="T802" s="8"/>
      <c r="AC802" s="8"/>
    </row>
    <row r="803" spans="2:29" ht="15" x14ac:dyDescent="0.2">
      <c r="B803" s="8"/>
      <c r="K803" s="8"/>
      <c r="T803" s="8"/>
      <c r="AC803" s="8"/>
    </row>
    <row r="804" spans="2:29" ht="15" x14ac:dyDescent="0.2">
      <c r="B804" s="8"/>
      <c r="K804" s="8"/>
      <c r="T804" s="8"/>
      <c r="AC804" s="8"/>
    </row>
    <row r="805" spans="2:29" ht="15" x14ac:dyDescent="0.2">
      <c r="B805" s="8"/>
      <c r="K805" s="8"/>
      <c r="T805" s="8"/>
      <c r="AC805" s="8"/>
    </row>
    <row r="806" spans="2:29" ht="15" x14ac:dyDescent="0.2">
      <c r="B806" s="8"/>
      <c r="K806" s="8"/>
      <c r="T806" s="8"/>
      <c r="AC806" s="8"/>
    </row>
    <row r="807" spans="2:29" ht="15" x14ac:dyDescent="0.2">
      <c r="B807" s="8"/>
      <c r="K807" s="8"/>
      <c r="T807" s="8"/>
      <c r="AC807" s="8"/>
    </row>
    <row r="808" spans="2:29" ht="15" x14ac:dyDescent="0.2">
      <c r="B808" s="8"/>
      <c r="K808" s="8"/>
      <c r="T808" s="8"/>
      <c r="AC808" s="8"/>
    </row>
    <row r="809" spans="2:29" ht="15" x14ac:dyDescent="0.2">
      <c r="B809" s="8"/>
      <c r="K809" s="8"/>
      <c r="T809" s="8"/>
      <c r="AC809" s="8"/>
    </row>
    <row r="810" spans="2:29" ht="15" x14ac:dyDescent="0.2">
      <c r="B810" s="8"/>
      <c r="K810" s="8"/>
      <c r="T810" s="8"/>
      <c r="AC810" s="8"/>
    </row>
    <row r="811" spans="2:29" ht="15" x14ac:dyDescent="0.2">
      <c r="B811" s="8"/>
      <c r="K811" s="8"/>
      <c r="T811" s="8"/>
      <c r="AC811" s="8"/>
    </row>
    <row r="812" spans="2:29" ht="15" x14ac:dyDescent="0.2">
      <c r="B812" s="8"/>
      <c r="K812" s="8"/>
      <c r="T812" s="8"/>
      <c r="AC812" s="8"/>
    </row>
    <row r="813" spans="2:29" ht="15" x14ac:dyDescent="0.2">
      <c r="B813" s="8"/>
      <c r="K813" s="8"/>
      <c r="T813" s="8"/>
      <c r="AC813" s="8"/>
    </row>
    <row r="814" spans="2:29" ht="15" x14ac:dyDescent="0.2">
      <c r="B814" s="8"/>
      <c r="K814" s="8"/>
      <c r="T814" s="8"/>
      <c r="AC814" s="8"/>
    </row>
    <row r="815" spans="2:29" ht="15" x14ac:dyDescent="0.2">
      <c r="B815" s="8"/>
      <c r="K815" s="8"/>
      <c r="T815" s="8"/>
      <c r="AC815" s="8"/>
    </row>
    <row r="816" spans="2:29" ht="15" x14ac:dyDescent="0.2">
      <c r="B816" s="8"/>
      <c r="K816" s="8"/>
      <c r="T816" s="8"/>
      <c r="AC816" s="8"/>
    </row>
    <row r="817" spans="2:29" ht="15" x14ac:dyDescent="0.2">
      <c r="B817" s="8"/>
      <c r="K817" s="8"/>
      <c r="T817" s="8"/>
      <c r="AC817" s="8"/>
    </row>
    <row r="818" spans="2:29" ht="15" x14ac:dyDescent="0.2">
      <c r="B818" s="8"/>
      <c r="K818" s="8"/>
      <c r="T818" s="8"/>
      <c r="AC818" s="8"/>
    </row>
    <row r="819" spans="2:29" ht="15" x14ac:dyDescent="0.2">
      <c r="B819" s="8"/>
      <c r="K819" s="8"/>
      <c r="T819" s="8"/>
      <c r="AC819" s="8"/>
    </row>
    <row r="820" spans="2:29" ht="15" x14ac:dyDescent="0.2">
      <c r="B820" s="8"/>
      <c r="K820" s="8"/>
      <c r="T820" s="8"/>
      <c r="AC820" s="8"/>
    </row>
    <row r="821" spans="2:29" ht="15" x14ac:dyDescent="0.2">
      <c r="B821" s="8"/>
      <c r="K821" s="8"/>
      <c r="T821" s="8"/>
      <c r="AC821" s="8"/>
    </row>
    <row r="822" spans="2:29" ht="15" x14ac:dyDescent="0.2">
      <c r="B822" s="8"/>
      <c r="K822" s="8"/>
      <c r="T822" s="8"/>
      <c r="AC822" s="8"/>
    </row>
    <row r="823" spans="2:29" ht="15" x14ac:dyDescent="0.2">
      <c r="B823" s="8"/>
      <c r="K823" s="8"/>
      <c r="T823" s="8"/>
      <c r="AC823" s="8"/>
    </row>
    <row r="824" spans="2:29" ht="15" x14ac:dyDescent="0.2">
      <c r="B824" s="8"/>
      <c r="K824" s="8"/>
      <c r="T824" s="8"/>
      <c r="AC824" s="8"/>
    </row>
    <row r="825" spans="2:29" ht="15" x14ac:dyDescent="0.2">
      <c r="B825" s="8"/>
      <c r="K825" s="8"/>
      <c r="T825" s="8"/>
      <c r="AC825" s="8"/>
    </row>
    <row r="826" spans="2:29" ht="15" x14ac:dyDescent="0.2">
      <c r="B826" s="8"/>
      <c r="K826" s="8"/>
      <c r="T826" s="8"/>
      <c r="AC826" s="8"/>
    </row>
    <row r="827" spans="2:29" ht="15" x14ac:dyDescent="0.2">
      <c r="B827" s="8"/>
      <c r="K827" s="8"/>
      <c r="T827" s="8"/>
      <c r="AC827" s="8"/>
    </row>
    <row r="828" spans="2:29" ht="15" x14ac:dyDescent="0.2">
      <c r="B828" s="8"/>
      <c r="K828" s="8"/>
      <c r="T828" s="8"/>
      <c r="AC828" s="8"/>
    </row>
    <row r="829" spans="2:29" ht="15" x14ac:dyDescent="0.2">
      <c r="B829" s="8"/>
      <c r="K829" s="8"/>
      <c r="T829" s="8"/>
      <c r="AC829" s="8"/>
    </row>
    <row r="830" spans="2:29" ht="15" x14ac:dyDescent="0.2">
      <c r="B830" s="8"/>
      <c r="K830" s="8"/>
      <c r="T830" s="8"/>
      <c r="AC830" s="8"/>
    </row>
    <row r="831" spans="2:29" ht="15" x14ac:dyDescent="0.2">
      <c r="B831" s="8"/>
      <c r="K831" s="8"/>
      <c r="T831" s="8"/>
      <c r="AC831" s="8"/>
    </row>
    <row r="832" spans="2:29" ht="15" x14ac:dyDescent="0.2">
      <c r="B832" s="8"/>
      <c r="K832" s="8"/>
      <c r="T832" s="8"/>
      <c r="AC832" s="8"/>
    </row>
    <row r="833" spans="2:29" ht="15" x14ac:dyDescent="0.2">
      <c r="B833" s="8"/>
      <c r="K833" s="8"/>
      <c r="T833" s="8"/>
      <c r="AC833" s="8"/>
    </row>
    <row r="834" spans="2:29" ht="15" x14ac:dyDescent="0.2">
      <c r="B834" s="8"/>
      <c r="K834" s="8"/>
      <c r="T834" s="8"/>
      <c r="AC834" s="8"/>
    </row>
    <row r="835" spans="2:29" ht="15" x14ac:dyDescent="0.2">
      <c r="B835" s="8"/>
      <c r="K835" s="8"/>
      <c r="T835" s="8"/>
      <c r="AC835" s="8"/>
    </row>
    <row r="836" spans="2:29" ht="15" x14ac:dyDescent="0.2">
      <c r="B836" s="8"/>
      <c r="K836" s="8"/>
      <c r="T836" s="8"/>
      <c r="AC836" s="8"/>
    </row>
    <row r="837" spans="2:29" ht="15" x14ac:dyDescent="0.2">
      <c r="B837" s="8"/>
      <c r="K837" s="8"/>
      <c r="T837" s="8"/>
      <c r="AC837" s="8"/>
    </row>
    <row r="838" spans="2:29" ht="15" x14ac:dyDescent="0.2">
      <c r="B838" s="8"/>
      <c r="K838" s="8"/>
      <c r="T838" s="8"/>
      <c r="AC838" s="8"/>
    </row>
    <row r="839" spans="2:29" ht="15" x14ac:dyDescent="0.2">
      <c r="B839" s="8"/>
      <c r="K839" s="8"/>
      <c r="T839" s="8"/>
      <c r="AC839" s="8"/>
    </row>
    <row r="840" spans="2:29" ht="15" x14ac:dyDescent="0.2">
      <c r="B840" s="8"/>
      <c r="K840" s="8"/>
      <c r="T840" s="8"/>
      <c r="AC840" s="8"/>
    </row>
    <row r="841" spans="2:29" ht="15" x14ac:dyDescent="0.2">
      <c r="B841" s="8"/>
      <c r="K841" s="8"/>
      <c r="T841" s="8"/>
      <c r="AC841" s="8"/>
    </row>
    <row r="842" spans="2:29" ht="15" x14ac:dyDescent="0.2">
      <c r="B842" s="8"/>
      <c r="K842" s="8"/>
      <c r="T842" s="8"/>
      <c r="AC842" s="8"/>
    </row>
    <row r="843" spans="2:29" ht="15" x14ac:dyDescent="0.2">
      <c r="B843" s="8"/>
      <c r="K843" s="8"/>
      <c r="T843" s="8"/>
      <c r="AC843" s="8"/>
    </row>
    <row r="844" spans="2:29" ht="15" x14ac:dyDescent="0.2">
      <c r="B844" s="8"/>
      <c r="K844" s="8"/>
      <c r="T844" s="8"/>
      <c r="AC844" s="8"/>
    </row>
    <row r="845" spans="2:29" ht="15" x14ac:dyDescent="0.2">
      <c r="B845" s="8"/>
      <c r="K845" s="8"/>
      <c r="T845" s="8"/>
      <c r="AC845" s="8"/>
    </row>
    <row r="846" spans="2:29" ht="15" x14ac:dyDescent="0.2">
      <c r="B846" s="8"/>
      <c r="K846" s="8"/>
      <c r="T846" s="8"/>
      <c r="AC846" s="8"/>
    </row>
    <row r="847" spans="2:29" ht="15" x14ac:dyDescent="0.2">
      <c r="B847" s="8"/>
      <c r="K847" s="8"/>
      <c r="T847" s="8"/>
      <c r="AC847" s="8"/>
    </row>
    <row r="848" spans="2:29" ht="15" x14ac:dyDescent="0.2">
      <c r="B848" s="8"/>
      <c r="K848" s="8"/>
      <c r="T848" s="8"/>
      <c r="AC848" s="8"/>
    </row>
    <row r="849" spans="2:29" ht="15" x14ac:dyDescent="0.2">
      <c r="B849" s="8"/>
      <c r="K849" s="8"/>
      <c r="T849" s="8"/>
      <c r="AC849" s="8"/>
    </row>
    <row r="850" spans="2:29" ht="15" x14ac:dyDescent="0.2">
      <c r="B850" s="8"/>
      <c r="K850" s="8"/>
      <c r="T850" s="8"/>
      <c r="AC850" s="8"/>
    </row>
    <row r="851" spans="2:29" ht="15" x14ac:dyDescent="0.2">
      <c r="B851" s="8"/>
      <c r="K851" s="8"/>
      <c r="T851" s="8"/>
      <c r="AC851" s="8"/>
    </row>
    <row r="852" spans="2:29" ht="15" x14ac:dyDescent="0.2">
      <c r="B852" s="8"/>
      <c r="K852" s="8"/>
      <c r="T852" s="8"/>
      <c r="AC852" s="8"/>
    </row>
    <row r="853" spans="2:29" ht="15" x14ac:dyDescent="0.2">
      <c r="B853" s="8"/>
      <c r="K853" s="8"/>
      <c r="T853" s="8"/>
      <c r="AC853" s="8"/>
    </row>
    <row r="854" spans="2:29" ht="15" x14ac:dyDescent="0.2">
      <c r="B854" s="8"/>
      <c r="K854" s="8"/>
      <c r="T854" s="8"/>
      <c r="AC854" s="8"/>
    </row>
    <row r="855" spans="2:29" ht="15" x14ac:dyDescent="0.2">
      <c r="B855" s="8"/>
      <c r="K855" s="8"/>
      <c r="T855" s="8"/>
      <c r="AC855" s="8"/>
    </row>
    <row r="856" spans="2:29" ht="15" x14ac:dyDescent="0.2">
      <c r="B856" s="8"/>
      <c r="K856" s="8"/>
      <c r="T856" s="8"/>
      <c r="AC856" s="8"/>
    </row>
    <row r="857" spans="2:29" ht="15" x14ac:dyDescent="0.2">
      <c r="B857" s="8"/>
      <c r="K857" s="8"/>
      <c r="T857" s="8"/>
      <c r="AC857" s="8"/>
    </row>
    <row r="858" spans="2:29" ht="15" x14ac:dyDescent="0.2">
      <c r="B858" s="8"/>
      <c r="K858" s="8"/>
      <c r="T858" s="8"/>
      <c r="AC858" s="8"/>
    </row>
    <row r="859" spans="2:29" ht="15" x14ac:dyDescent="0.2">
      <c r="B859" s="8"/>
      <c r="K859" s="8"/>
      <c r="T859" s="8"/>
      <c r="AC859" s="8"/>
    </row>
    <row r="860" spans="2:29" ht="15" x14ac:dyDescent="0.2">
      <c r="B860" s="8"/>
      <c r="K860" s="8"/>
      <c r="T860" s="8"/>
      <c r="AC860" s="8"/>
    </row>
    <row r="861" spans="2:29" ht="15" x14ac:dyDescent="0.2">
      <c r="B861" s="8"/>
      <c r="K861" s="8"/>
      <c r="T861" s="8"/>
      <c r="AC861" s="8"/>
    </row>
    <row r="862" spans="2:29" ht="15" x14ac:dyDescent="0.2">
      <c r="B862" s="8"/>
      <c r="K862" s="8"/>
      <c r="T862" s="8"/>
      <c r="AC862" s="8"/>
    </row>
    <row r="863" spans="2:29" ht="15" x14ac:dyDescent="0.2">
      <c r="B863" s="8"/>
      <c r="K863" s="8"/>
      <c r="T863" s="8"/>
      <c r="AC863" s="8"/>
    </row>
    <row r="864" spans="2:29" ht="15" x14ac:dyDescent="0.2">
      <c r="B864" s="8"/>
      <c r="K864" s="8"/>
      <c r="T864" s="8"/>
      <c r="AC864" s="8"/>
    </row>
    <row r="865" spans="2:29" ht="15" x14ac:dyDescent="0.2">
      <c r="B865" s="8"/>
      <c r="K865" s="8"/>
      <c r="T865" s="8"/>
      <c r="AC865" s="8"/>
    </row>
    <row r="866" spans="2:29" ht="15" x14ac:dyDescent="0.2">
      <c r="B866" s="8"/>
      <c r="K866" s="8"/>
      <c r="T866" s="8"/>
      <c r="AC866" s="8"/>
    </row>
    <row r="867" spans="2:29" ht="15" x14ac:dyDescent="0.2">
      <c r="B867" s="8"/>
      <c r="K867" s="8"/>
      <c r="T867" s="8"/>
      <c r="AC867" s="8"/>
    </row>
    <row r="868" spans="2:29" ht="15" x14ac:dyDescent="0.2">
      <c r="B868" s="8"/>
      <c r="K868" s="8"/>
      <c r="T868" s="8"/>
      <c r="AC868" s="8"/>
    </row>
    <row r="869" spans="2:29" ht="15" x14ac:dyDescent="0.2">
      <c r="B869" s="8"/>
      <c r="K869" s="8"/>
      <c r="T869" s="8"/>
      <c r="AC869" s="8"/>
    </row>
    <row r="870" spans="2:29" ht="15" x14ac:dyDescent="0.2">
      <c r="B870" s="8"/>
      <c r="K870" s="8"/>
      <c r="T870" s="8"/>
      <c r="AC870" s="8"/>
    </row>
    <row r="871" spans="2:29" ht="15" x14ac:dyDescent="0.2">
      <c r="B871" s="8"/>
      <c r="K871" s="8"/>
      <c r="T871" s="8"/>
      <c r="AC871" s="8"/>
    </row>
    <row r="872" spans="2:29" ht="15" x14ac:dyDescent="0.2">
      <c r="B872" s="8"/>
      <c r="K872" s="8"/>
      <c r="T872" s="8"/>
      <c r="AC872" s="8"/>
    </row>
    <row r="873" spans="2:29" ht="15" x14ac:dyDescent="0.2">
      <c r="B873" s="8"/>
      <c r="K873" s="8"/>
      <c r="T873" s="8"/>
      <c r="AC873" s="8"/>
    </row>
    <row r="874" spans="2:29" ht="15" x14ac:dyDescent="0.2">
      <c r="B874" s="8"/>
      <c r="K874" s="8"/>
      <c r="T874" s="8"/>
      <c r="AC874" s="8"/>
    </row>
    <row r="875" spans="2:29" ht="15" x14ac:dyDescent="0.2">
      <c r="B875" s="8"/>
      <c r="K875" s="8"/>
      <c r="T875" s="8"/>
      <c r="AC875" s="8"/>
    </row>
    <row r="876" spans="2:29" ht="15" x14ac:dyDescent="0.2">
      <c r="B876" s="8"/>
      <c r="K876" s="8"/>
      <c r="T876" s="8"/>
      <c r="AC876" s="8"/>
    </row>
    <row r="877" spans="2:29" ht="15" x14ac:dyDescent="0.2">
      <c r="B877" s="8"/>
      <c r="K877" s="8"/>
      <c r="T877" s="8"/>
      <c r="AC877" s="8"/>
    </row>
    <row r="878" spans="2:29" ht="15" x14ac:dyDescent="0.2">
      <c r="B878" s="8"/>
      <c r="K878" s="8"/>
      <c r="T878" s="8"/>
      <c r="AC878" s="8"/>
    </row>
    <row r="879" spans="2:29" ht="15" x14ac:dyDescent="0.2">
      <c r="B879" s="8"/>
      <c r="K879" s="8"/>
      <c r="T879" s="8"/>
      <c r="AC879" s="8"/>
    </row>
    <row r="880" spans="2:29" ht="15" x14ac:dyDescent="0.2">
      <c r="B880" s="8"/>
      <c r="K880" s="8"/>
      <c r="T880" s="8"/>
      <c r="AC880" s="8"/>
    </row>
    <row r="881" spans="2:29" ht="15" x14ac:dyDescent="0.2">
      <c r="B881" s="8"/>
      <c r="K881" s="8"/>
      <c r="T881" s="8"/>
      <c r="AC881" s="8"/>
    </row>
    <row r="882" spans="2:29" ht="15" x14ac:dyDescent="0.2">
      <c r="B882" s="8"/>
      <c r="K882" s="8"/>
      <c r="T882" s="8"/>
      <c r="AC882" s="8"/>
    </row>
    <row r="883" spans="2:29" ht="15" x14ac:dyDescent="0.2">
      <c r="B883" s="8"/>
      <c r="K883" s="8"/>
      <c r="T883" s="8"/>
      <c r="AC883" s="8"/>
    </row>
    <row r="884" spans="2:29" ht="15" x14ac:dyDescent="0.2">
      <c r="B884" s="8"/>
      <c r="K884" s="8"/>
      <c r="T884" s="8"/>
      <c r="AC884" s="8"/>
    </row>
    <row r="885" spans="2:29" ht="15" x14ac:dyDescent="0.2">
      <c r="B885" s="8"/>
      <c r="K885" s="8"/>
      <c r="T885" s="8"/>
      <c r="AC885" s="8"/>
    </row>
    <row r="886" spans="2:29" ht="15" x14ac:dyDescent="0.2">
      <c r="B886" s="8"/>
      <c r="K886" s="8"/>
      <c r="T886" s="8"/>
      <c r="AC886" s="8"/>
    </row>
    <row r="887" spans="2:29" ht="15" x14ac:dyDescent="0.2">
      <c r="B887" s="8"/>
      <c r="K887" s="8"/>
      <c r="T887" s="8"/>
      <c r="AC887" s="8"/>
    </row>
    <row r="888" spans="2:29" ht="15" x14ac:dyDescent="0.2">
      <c r="B888" s="8"/>
      <c r="K888" s="8"/>
      <c r="T888" s="8"/>
      <c r="AC888" s="8"/>
    </row>
    <row r="889" spans="2:29" ht="15" x14ac:dyDescent="0.2">
      <c r="B889" s="8"/>
      <c r="K889" s="8"/>
      <c r="T889" s="8"/>
      <c r="AC889" s="8"/>
    </row>
    <row r="890" spans="2:29" ht="15" x14ac:dyDescent="0.2">
      <c r="B890" s="8"/>
      <c r="K890" s="8"/>
      <c r="T890" s="8"/>
      <c r="AC890" s="8"/>
    </row>
    <row r="891" spans="2:29" ht="15" x14ac:dyDescent="0.2">
      <c r="B891" s="8"/>
      <c r="K891" s="8"/>
      <c r="T891" s="8"/>
      <c r="AC891" s="8"/>
    </row>
    <row r="892" spans="2:29" ht="15" x14ac:dyDescent="0.2">
      <c r="B892" s="8"/>
      <c r="K892" s="8"/>
      <c r="T892" s="8"/>
      <c r="AC892" s="8"/>
    </row>
    <row r="893" spans="2:29" ht="15" x14ac:dyDescent="0.2">
      <c r="B893" s="8"/>
      <c r="K893" s="8"/>
      <c r="T893" s="8"/>
      <c r="AC893" s="8"/>
    </row>
    <row r="894" spans="2:29" ht="15" x14ac:dyDescent="0.2">
      <c r="B894" s="8"/>
      <c r="K894" s="8"/>
      <c r="T894" s="8"/>
      <c r="AC894" s="8"/>
    </row>
    <row r="895" spans="2:29" ht="15" x14ac:dyDescent="0.2">
      <c r="B895" s="8"/>
      <c r="K895" s="8"/>
      <c r="T895" s="8"/>
      <c r="AC895" s="8"/>
    </row>
    <row r="896" spans="2:29" ht="15" x14ac:dyDescent="0.2">
      <c r="B896" s="8"/>
      <c r="K896" s="8"/>
      <c r="T896" s="8"/>
      <c r="AC896" s="8"/>
    </row>
    <row r="897" spans="2:29" ht="15" x14ac:dyDescent="0.2">
      <c r="B897" s="8"/>
      <c r="K897" s="8"/>
      <c r="T897" s="8"/>
      <c r="AC897" s="8"/>
    </row>
    <row r="898" spans="2:29" ht="15" x14ac:dyDescent="0.2">
      <c r="B898" s="8"/>
      <c r="K898" s="8"/>
      <c r="T898" s="8"/>
      <c r="AC898" s="8"/>
    </row>
    <row r="899" spans="2:29" ht="15" x14ac:dyDescent="0.2">
      <c r="B899" s="8"/>
      <c r="K899" s="8"/>
      <c r="T899" s="8"/>
      <c r="AC899" s="8"/>
    </row>
    <row r="900" spans="2:29" ht="15" x14ac:dyDescent="0.2">
      <c r="B900" s="8"/>
      <c r="K900" s="8"/>
      <c r="T900" s="8"/>
      <c r="AC900" s="8"/>
    </row>
    <row r="901" spans="2:29" ht="15" x14ac:dyDescent="0.2">
      <c r="B901" s="8"/>
      <c r="K901" s="8"/>
      <c r="T901" s="8"/>
      <c r="AC901" s="8"/>
    </row>
    <row r="902" spans="2:29" ht="15" x14ac:dyDescent="0.2">
      <c r="B902" s="8"/>
      <c r="K902" s="8"/>
      <c r="T902" s="8"/>
      <c r="AC902" s="8"/>
    </row>
    <row r="903" spans="2:29" ht="15" x14ac:dyDescent="0.2">
      <c r="B903" s="8"/>
      <c r="K903" s="8"/>
      <c r="T903" s="8"/>
      <c r="AC903" s="8"/>
    </row>
    <row r="904" spans="2:29" ht="15" x14ac:dyDescent="0.2">
      <c r="B904" s="8"/>
      <c r="K904" s="8"/>
      <c r="T904" s="8"/>
      <c r="AC904" s="8"/>
    </row>
    <row r="905" spans="2:29" ht="15" x14ac:dyDescent="0.2">
      <c r="B905" s="8"/>
      <c r="K905" s="8"/>
      <c r="T905" s="8"/>
      <c r="AC905" s="8"/>
    </row>
    <row r="906" spans="2:29" ht="15" x14ac:dyDescent="0.2">
      <c r="B906" s="8"/>
      <c r="K906" s="8"/>
      <c r="T906" s="8"/>
      <c r="AC906" s="8"/>
    </row>
    <row r="907" spans="2:29" ht="15" x14ac:dyDescent="0.2">
      <c r="B907" s="8"/>
      <c r="K907" s="8"/>
      <c r="T907" s="8"/>
      <c r="AC907" s="8"/>
    </row>
    <row r="908" spans="2:29" ht="15" x14ac:dyDescent="0.2">
      <c r="B908" s="8"/>
      <c r="K908" s="8"/>
      <c r="T908" s="8"/>
      <c r="AC908" s="8"/>
    </row>
    <row r="909" spans="2:29" ht="15" x14ac:dyDescent="0.2">
      <c r="B909" s="8"/>
      <c r="K909" s="8"/>
      <c r="T909" s="8"/>
      <c r="AC909" s="8"/>
    </row>
    <row r="910" spans="2:29" ht="15" x14ac:dyDescent="0.2">
      <c r="B910" s="8"/>
      <c r="K910" s="8"/>
      <c r="T910" s="8"/>
      <c r="AC910" s="8"/>
    </row>
    <row r="911" spans="2:29" ht="15" x14ac:dyDescent="0.2">
      <c r="B911" s="8"/>
      <c r="K911" s="8"/>
      <c r="T911" s="8"/>
      <c r="AC911" s="8"/>
    </row>
    <row r="912" spans="2:29" ht="15" x14ac:dyDescent="0.2">
      <c r="B912" s="8"/>
      <c r="K912" s="8"/>
      <c r="T912" s="8"/>
      <c r="AC912" s="8"/>
    </row>
    <row r="913" spans="2:29" ht="15" x14ac:dyDescent="0.2">
      <c r="B913" s="8"/>
      <c r="K913" s="8"/>
      <c r="T913" s="8"/>
      <c r="AC913" s="8"/>
    </row>
    <row r="914" spans="2:29" ht="15" x14ac:dyDescent="0.2">
      <c r="B914" s="8"/>
      <c r="K914" s="8"/>
      <c r="T914" s="8"/>
      <c r="AC914" s="8"/>
    </row>
    <row r="915" spans="2:29" ht="15" x14ac:dyDescent="0.2">
      <c r="B915" s="8"/>
      <c r="K915" s="8"/>
      <c r="T915" s="8"/>
      <c r="AC915" s="8"/>
    </row>
    <row r="916" spans="2:29" ht="15" x14ac:dyDescent="0.2">
      <c r="B916" s="8"/>
      <c r="K916" s="8"/>
      <c r="T916" s="8"/>
      <c r="AC916" s="8"/>
    </row>
    <row r="917" spans="2:29" ht="15" x14ac:dyDescent="0.2">
      <c r="B917" s="8"/>
      <c r="K917" s="8"/>
      <c r="T917" s="8"/>
      <c r="AC917" s="8"/>
    </row>
    <row r="918" spans="2:29" ht="15" x14ac:dyDescent="0.2">
      <c r="B918" s="8"/>
      <c r="K918" s="8"/>
      <c r="T918" s="8"/>
      <c r="AC918" s="8"/>
    </row>
    <row r="919" spans="2:29" ht="15" x14ac:dyDescent="0.2">
      <c r="B919" s="8"/>
      <c r="K919" s="8"/>
      <c r="T919" s="8"/>
      <c r="AC919" s="8"/>
    </row>
    <row r="920" spans="2:29" ht="15" x14ac:dyDescent="0.2">
      <c r="B920" s="8"/>
      <c r="K920" s="8"/>
      <c r="T920" s="8"/>
      <c r="AC920" s="8"/>
    </row>
    <row r="921" spans="2:29" ht="15" x14ac:dyDescent="0.2">
      <c r="B921" s="8"/>
      <c r="K921" s="8"/>
      <c r="T921" s="8"/>
      <c r="AC921" s="8"/>
    </row>
    <row r="922" spans="2:29" ht="15" x14ac:dyDescent="0.2">
      <c r="B922" s="8"/>
      <c r="K922" s="8"/>
      <c r="T922" s="8"/>
      <c r="AC922" s="8"/>
    </row>
    <row r="923" spans="2:29" ht="15" x14ac:dyDescent="0.2">
      <c r="B923" s="8"/>
      <c r="K923" s="8"/>
      <c r="T923" s="8"/>
      <c r="AC923" s="8"/>
    </row>
    <row r="924" spans="2:29" ht="15" x14ac:dyDescent="0.2">
      <c r="B924" s="8"/>
      <c r="K924" s="8"/>
      <c r="T924" s="8"/>
      <c r="AC924" s="8"/>
    </row>
    <row r="925" spans="2:29" ht="15" x14ac:dyDescent="0.2">
      <c r="B925" s="8"/>
      <c r="K925" s="8"/>
      <c r="T925" s="8"/>
      <c r="AC925" s="8"/>
    </row>
    <row r="926" spans="2:29" ht="15" x14ac:dyDescent="0.2">
      <c r="B926" s="8"/>
      <c r="K926" s="8"/>
      <c r="T926" s="8"/>
      <c r="AC926" s="8"/>
    </row>
    <row r="927" spans="2:29" ht="15" x14ac:dyDescent="0.2">
      <c r="B927" s="8"/>
      <c r="K927" s="8"/>
      <c r="T927" s="8"/>
      <c r="AC927" s="8"/>
    </row>
    <row r="928" spans="2:29" ht="15" x14ac:dyDescent="0.2">
      <c r="B928" s="8"/>
      <c r="K928" s="8"/>
      <c r="T928" s="8"/>
      <c r="AC928" s="8"/>
    </row>
    <row r="929" spans="2:29" ht="15" x14ac:dyDescent="0.2">
      <c r="B929" s="8"/>
      <c r="K929" s="8"/>
      <c r="T929" s="8"/>
      <c r="AC929" s="8"/>
    </row>
    <row r="930" spans="2:29" ht="15" x14ac:dyDescent="0.2">
      <c r="B930" s="8"/>
      <c r="K930" s="8"/>
      <c r="T930" s="8"/>
      <c r="AC930" s="8"/>
    </row>
    <row r="931" spans="2:29" ht="15" x14ac:dyDescent="0.2">
      <c r="B931" s="8"/>
      <c r="K931" s="8"/>
      <c r="T931" s="8"/>
      <c r="AC931" s="8"/>
    </row>
    <row r="932" spans="2:29" ht="15" x14ac:dyDescent="0.2">
      <c r="B932" s="8"/>
      <c r="K932" s="8"/>
      <c r="T932" s="8"/>
      <c r="AC932" s="8"/>
    </row>
    <row r="933" spans="2:29" ht="15" x14ac:dyDescent="0.2">
      <c r="B933" s="8"/>
      <c r="K933" s="8"/>
      <c r="T933" s="8"/>
      <c r="AC933" s="8"/>
    </row>
    <row r="934" spans="2:29" ht="15" x14ac:dyDescent="0.2">
      <c r="B934" s="8"/>
      <c r="K934" s="8"/>
      <c r="T934" s="8"/>
      <c r="AC934" s="8"/>
    </row>
    <row r="935" spans="2:29" ht="15" x14ac:dyDescent="0.2">
      <c r="B935" s="8"/>
      <c r="K935" s="8"/>
      <c r="T935" s="8"/>
      <c r="AC935" s="8"/>
    </row>
    <row r="936" spans="2:29" ht="15" x14ac:dyDescent="0.2">
      <c r="B936" s="8"/>
      <c r="K936" s="8"/>
      <c r="T936" s="8"/>
      <c r="AC936" s="8"/>
    </row>
    <row r="937" spans="2:29" ht="15" x14ac:dyDescent="0.2">
      <c r="B937" s="8"/>
      <c r="K937" s="8"/>
      <c r="T937" s="8"/>
      <c r="AC937" s="8"/>
    </row>
    <row r="938" spans="2:29" ht="15" x14ac:dyDescent="0.2">
      <c r="B938" s="8"/>
      <c r="K938" s="8"/>
      <c r="T938" s="8"/>
      <c r="AC938" s="8"/>
    </row>
    <row r="939" spans="2:29" ht="15" x14ac:dyDescent="0.2">
      <c r="B939" s="8"/>
      <c r="K939" s="8"/>
      <c r="T939" s="8"/>
      <c r="AC939" s="8"/>
    </row>
    <row r="940" spans="2:29" ht="15" x14ac:dyDescent="0.2">
      <c r="B940" s="8"/>
      <c r="K940" s="8"/>
      <c r="T940" s="8"/>
      <c r="AC940" s="8"/>
    </row>
    <row r="941" spans="2:29" ht="15" x14ac:dyDescent="0.2">
      <c r="B941" s="8"/>
      <c r="K941" s="8"/>
      <c r="T941" s="8"/>
      <c r="AC941" s="8"/>
    </row>
    <row r="942" spans="2:29" ht="15" x14ac:dyDescent="0.2">
      <c r="B942" s="8"/>
      <c r="K942" s="8"/>
      <c r="T942" s="8"/>
      <c r="AC942" s="8"/>
    </row>
    <row r="943" spans="2:29" ht="15" x14ac:dyDescent="0.2">
      <c r="B943" s="8"/>
      <c r="K943" s="8"/>
      <c r="T943" s="8"/>
      <c r="AC943" s="8"/>
    </row>
    <row r="944" spans="2:29" ht="15" x14ac:dyDescent="0.2">
      <c r="B944" s="8"/>
      <c r="K944" s="8"/>
      <c r="T944" s="8"/>
      <c r="AC944" s="8"/>
    </row>
    <row r="945" spans="2:29" ht="15" x14ac:dyDescent="0.2">
      <c r="B945" s="8"/>
      <c r="K945" s="8"/>
      <c r="T945" s="8"/>
      <c r="AC945" s="8"/>
    </row>
    <row r="946" spans="2:29" ht="15" x14ac:dyDescent="0.2">
      <c r="B946" s="8"/>
      <c r="K946" s="8"/>
      <c r="T946" s="8"/>
      <c r="AC946" s="8"/>
    </row>
    <row r="947" spans="2:29" ht="15" x14ac:dyDescent="0.2">
      <c r="B947" s="8"/>
      <c r="K947" s="8"/>
      <c r="T947" s="8"/>
      <c r="AC947" s="8"/>
    </row>
    <row r="948" spans="2:29" ht="15" x14ac:dyDescent="0.2">
      <c r="B948" s="8"/>
      <c r="K948" s="8"/>
      <c r="T948" s="8"/>
      <c r="AC948" s="8"/>
    </row>
    <row r="949" spans="2:29" ht="15" x14ac:dyDescent="0.2">
      <c r="B949" s="8"/>
      <c r="K949" s="8"/>
      <c r="T949" s="8"/>
      <c r="AC949" s="8"/>
    </row>
    <row r="950" spans="2:29" ht="15" x14ac:dyDescent="0.2">
      <c r="B950" s="8"/>
      <c r="K950" s="8"/>
      <c r="T950" s="8"/>
      <c r="AC950" s="8"/>
    </row>
    <row r="951" spans="2:29" ht="15" x14ac:dyDescent="0.2">
      <c r="B951" s="8"/>
      <c r="K951" s="8"/>
      <c r="T951" s="8"/>
      <c r="AC951" s="8"/>
    </row>
    <row r="952" spans="2:29" ht="15" x14ac:dyDescent="0.2">
      <c r="B952" s="8"/>
      <c r="K952" s="8"/>
      <c r="T952" s="8"/>
      <c r="AC952" s="8"/>
    </row>
    <row r="953" spans="2:29" ht="15" x14ac:dyDescent="0.2">
      <c r="B953" s="8"/>
      <c r="K953" s="8"/>
      <c r="T953" s="8"/>
      <c r="AC953" s="8"/>
    </row>
    <row r="954" spans="2:29" ht="15" x14ac:dyDescent="0.2">
      <c r="B954" s="8"/>
      <c r="K954" s="8"/>
      <c r="T954" s="8"/>
      <c r="AC954" s="8"/>
    </row>
    <row r="955" spans="2:29" ht="15" x14ac:dyDescent="0.2">
      <c r="B955" s="8"/>
      <c r="K955" s="8"/>
      <c r="T955" s="8"/>
      <c r="AC955" s="8"/>
    </row>
    <row r="956" spans="2:29" ht="15" x14ac:dyDescent="0.2">
      <c r="B956" s="8"/>
      <c r="K956" s="8"/>
      <c r="T956" s="8"/>
      <c r="AC956" s="8"/>
    </row>
    <row r="957" spans="2:29" ht="15" x14ac:dyDescent="0.2">
      <c r="B957" s="8"/>
      <c r="K957" s="8"/>
      <c r="T957" s="8"/>
      <c r="AC957" s="8"/>
    </row>
    <row r="958" spans="2:29" ht="15" x14ac:dyDescent="0.2">
      <c r="B958" s="8"/>
      <c r="K958" s="8"/>
      <c r="T958" s="8"/>
      <c r="AC958" s="8"/>
    </row>
    <row r="959" spans="2:29" ht="15" x14ac:dyDescent="0.2">
      <c r="B959" s="8"/>
      <c r="K959" s="8"/>
      <c r="T959" s="8"/>
      <c r="AC959" s="8"/>
    </row>
    <row r="960" spans="2:29" ht="15" x14ac:dyDescent="0.2">
      <c r="B960" s="8"/>
      <c r="K960" s="8"/>
      <c r="T960" s="8"/>
      <c r="AC960" s="8"/>
    </row>
    <row r="961" spans="2:29" ht="15" x14ac:dyDescent="0.2">
      <c r="B961" s="8"/>
      <c r="K961" s="8"/>
      <c r="T961" s="8"/>
      <c r="AC961" s="8"/>
    </row>
    <row r="962" spans="2:29" ht="15" x14ac:dyDescent="0.2">
      <c r="B962" s="8"/>
      <c r="K962" s="8"/>
      <c r="T962" s="8"/>
      <c r="AC962" s="8"/>
    </row>
    <row r="963" spans="2:29" ht="15" x14ac:dyDescent="0.2">
      <c r="B963" s="8"/>
      <c r="K963" s="8"/>
      <c r="T963" s="8"/>
      <c r="AC963" s="8"/>
    </row>
    <row r="964" spans="2:29" ht="15" x14ac:dyDescent="0.2">
      <c r="B964" s="8"/>
      <c r="K964" s="8"/>
      <c r="T964" s="8"/>
      <c r="AC964" s="8"/>
    </row>
    <row r="965" spans="2:29" ht="15" x14ac:dyDescent="0.2">
      <c r="B965" s="8"/>
      <c r="K965" s="8"/>
      <c r="T965" s="8"/>
      <c r="AC965" s="8"/>
    </row>
    <row r="966" spans="2:29" ht="15" x14ac:dyDescent="0.2">
      <c r="B966" s="8"/>
      <c r="K966" s="8"/>
      <c r="T966" s="8"/>
      <c r="AC966" s="8"/>
    </row>
    <row r="967" spans="2:29" ht="15" x14ac:dyDescent="0.2">
      <c r="B967" s="8"/>
      <c r="K967" s="8"/>
      <c r="T967" s="8"/>
      <c r="AC967" s="8"/>
    </row>
    <row r="968" spans="2:29" ht="15" x14ac:dyDescent="0.2">
      <c r="B968" s="8"/>
      <c r="K968" s="8"/>
      <c r="T968" s="8"/>
      <c r="AC968" s="8"/>
    </row>
    <row r="969" spans="2:29" ht="15" x14ac:dyDescent="0.2">
      <c r="B969" s="8"/>
      <c r="K969" s="8"/>
      <c r="T969" s="8"/>
      <c r="AC969" s="8"/>
    </row>
    <row r="970" spans="2:29" ht="15" x14ac:dyDescent="0.2">
      <c r="B970" s="8"/>
      <c r="K970" s="8"/>
      <c r="T970" s="8"/>
      <c r="AC970" s="8"/>
    </row>
    <row r="971" spans="2:29" ht="15" x14ac:dyDescent="0.2">
      <c r="B971" s="8"/>
      <c r="K971" s="8"/>
      <c r="T971" s="8"/>
      <c r="AC971" s="8"/>
    </row>
    <row r="972" spans="2:29" ht="15" x14ac:dyDescent="0.2">
      <c r="B972" s="8"/>
      <c r="K972" s="8"/>
      <c r="T972" s="8"/>
      <c r="AC972" s="8"/>
    </row>
    <row r="973" spans="2:29" ht="15" x14ac:dyDescent="0.2">
      <c r="B973" s="8"/>
      <c r="K973" s="8"/>
      <c r="T973" s="8"/>
      <c r="AC973" s="8"/>
    </row>
    <row r="974" spans="2:29" ht="15" x14ac:dyDescent="0.2">
      <c r="B974" s="8"/>
      <c r="K974" s="8"/>
      <c r="T974" s="8"/>
      <c r="AC974" s="8"/>
    </row>
    <row r="975" spans="2:29" ht="15" x14ac:dyDescent="0.2">
      <c r="B975" s="8"/>
      <c r="K975" s="8"/>
      <c r="T975" s="8"/>
      <c r="AC975" s="8"/>
    </row>
    <row r="976" spans="2:29" ht="15" x14ac:dyDescent="0.2">
      <c r="B976" s="8"/>
      <c r="K976" s="8"/>
      <c r="T976" s="8"/>
      <c r="AC976" s="8"/>
    </row>
    <row r="977" spans="2:29" ht="15" x14ac:dyDescent="0.2">
      <c r="B977" s="8"/>
      <c r="K977" s="8"/>
      <c r="T977" s="8"/>
      <c r="AC977" s="8"/>
    </row>
    <row r="978" spans="2:29" ht="15" x14ac:dyDescent="0.2">
      <c r="B978" s="8"/>
      <c r="K978" s="8"/>
      <c r="T978" s="8"/>
      <c r="AC978" s="8"/>
    </row>
    <row r="979" spans="2:29" ht="15" x14ac:dyDescent="0.2">
      <c r="B979" s="8"/>
      <c r="K979" s="8"/>
      <c r="T979" s="8"/>
      <c r="AC979" s="8"/>
    </row>
    <row r="980" spans="2:29" ht="15" x14ac:dyDescent="0.2">
      <c r="B980" s="8"/>
      <c r="K980" s="8"/>
      <c r="T980" s="8"/>
      <c r="AC980" s="8"/>
    </row>
    <row r="981" spans="2:29" ht="15" x14ac:dyDescent="0.2">
      <c r="B981" s="8"/>
      <c r="K981" s="8"/>
      <c r="T981" s="8"/>
      <c r="AC981" s="8"/>
    </row>
    <row r="982" spans="2:29" ht="15" x14ac:dyDescent="0.2">
      <c r="B982" s="8"/>
      <c r="K982" s="8"/>
      <c r="T982" s="8"/>
      <c r="AC982" s="8"/>
    </row>
    <row r="983" spans="2:29" ht="15" x14ac:dyDescent="0.2">
      <c r="B983" s="8"/>
      <c r="K983" s="8"/>
      <c r="T983" s="8"/>
      <c r="AC983" s="8"/>
    </row>
    <row r="984" spans="2:29" ht="15" x14ac:dyDescent="0.2">
      <c r="B984" s="8"/>
      <c r="K984" s="8"/>
      <c r="T984" s="8"/>
      <c r="AC984" s="8"/>
    </row>
    <row r="985" spans="2:29" ht="15" x14ac:dyDescent="0.2">
      <c r="B985" s="8"/>
      <c r="K985" s="8"/>
      <c r="T985" s="8"/>
      <c r="AC985" s="8"/>
    </row>
    <row r="986" spans="2:29" ht="15" x14ac:dyDescent="0.2">
      <c r="B986" s="8"/>
      <c r="K986" s="8"/>
      <c r="T986" s="8"/>
      <c r="AC986" s="8"/>
    </row>
    <row r="987" spans="2:29" ht="15" x14ac:dyDescent="0.2">
      <c r="B987" s="8"/>
      <c r="K987" s="8"/>
      <c r="T987" s="8"/>
      <c r="AC987" s="8"/>
    </row>
    <row r="988" spans="2:29" ht="15" x14ac:dyDescent="0.2">
      <c r="B988" s="8"/>
      <c r="K988" s="8"/>
      <c r="T988" s="8"/>
      <c r="AC988" s="8"/>
    </row>
    <row r="989" spans="2:29" ht="15" x14ac:dyDescent="0.2">
      <c r="B989" s="8"/>
      <c r="K989" s="8"/>
      <c r="T989" s="8"/>
      <c r="AC989" s="8"/>
    </row>
    <row r="990" spans="2:29" ht="15" x14ac:dyDescent="0.2">
      <c r="B990" s="8"/>
      <c r="K990" s="8"/>
      <c r="T990" s="8"/>
      <c r="AC990" s="8"/>
    </row>
    <row r="991" spans="2:29" ht="15" x14ac:dyDescent="0.2">
      <c r="B991" s="8"/>
      <c r="K991" s="8"/>
      <c r="T991" s="8"/>
      <c r="AC991" s="8"/>
    </row>
    <row r="992" spans="2:29" ht="15" x14ac:dyDescent="0.2">
      <c r="B992" s="8"/>
      <c r="K992" s="8"/>
      <c r="T992" s="8"/>
      <c r="AC992" s="8"/>
    </row>
    <row r="993" spans="2:29" ht="15" x14ac:dyDescent="0.2">
      <c r="B993" s="8"/>
      <c r="K993" s="8"/>
      <c r="T993" s="8"/>
      <c r="AC993" s="8"/>
    </row>
    <row r="994" spans="2:29" ht="15" x14ac:dyDescent="0.2">
      <c r="B994" s="8"/>
      <c r="K994" s="8"/>
      <c r="T994" s="8"/>
      <c r="AC994" s="8"/>
    </row>
    <row r="995" spans="2:29" ht="15" x14ac:dyDescent="0.2">
      <c r="B995" s="8"/>
      <c r="K995" s="8"/>
      <c r="T995" s="8"/>
      <c r="AC995" s="8"/>
    </row>
    <row r="996" spans="2:29" ht="15" x14ac:dyDescent="0.2">
      <c r="B996" s="8"/>
      <c r="K996" s="8"/>
      <c r="T996" s="8"/>
      <c r="AC996" s="8"/>
    </row>
    <row r="997" spans="2:29" ht="15" x14ac:dyDescent="0.2">
      <c r="B997" s="8"/>
      <c r="K997" s="8"/>
      <c r="T997" s="8"/>
      <c r="AC997" s="8"/>
    </row>
    <row r="998" spans="2:29" ht="15" x14ac:dyDescent="0.2">
      <c r="B998" s="8"/>
      <c r="K998" s="8"/>
      <c r="T998" s="8"/>
      <c r="AC998" s="8"/>
    </row>
    <row r="999" spans="2:29" ht="15" x14ac:dyDescent="0.2">
      <c r="B999" s="8"/>
      <c r="K999" s="8"/>
      <c r="T999" s="8"/>
      <c r="AC999" s="8"/>
    </row>
    <row r="1000" spans="2:29" ht="15" x14ac:dyDescent="0.2">
      <c r="B1000" s="8"/>
      <c r="K1000" s="8"/>
      <c r="T1000" s="8"/>
      <c r="AC1000" s="8"/>
    </row>
    <row r="1001" spans="2:29" ht="15" x14ac:dyDescent="0.2">
      <c r="B1001" s="8"/>
      <c r="K1001" s="8"/>
      <c r="T1001" s="8"/>
      <c r="AC1001" s="8"/>
    </row>
    <row r="1002" spans="2:29" ht="15" x14ac:dyDescent="0.2">
      <c r="B1002" s="8"/>
      <c r="K1002" s="8"/>
      <c r="T1002" s="8"/>
      <c r="AC1002" s="8"/>
    </row>
    <row r="1003" spans="2:29" ht="15" x14ac:dyDescent="0.2">
      <c r="B1003" s="8"/>
      <c r="K1003" s="8"/>
      <c r="T1003" s="8"/>
      <c r="AC1003" s="8"/>
    </row>
    <row r="1004" spans="2:29" ht="15" x14ac:dyDescent="0.2">
      <c r="B1004" s="8"/>
      <c r="K1004" s="8"/>
      <c r="T1004" s="8"/>
      <c r="AC1004" s="8"/>
    </row>
    <row r="1005" spans="2:29" ht="15" x14ac:dyDescent="0.2">
      <c r="B1005" s="8"/>
      <c r="K1005" s="8"/>
      <c r="T1005" s="8"/>
      <c r="AC1005" s="8"/>
    </row>
    <row r="1006" spans="2:29" ht="15" x14ac:dyDescent="0.2">
      <c r="B1006" s="8"/>
      <c r="K1006" s="8"/>
      <c r="T1006" s="8"/>
      <c r="AC1006" s="8"/>
    </row>
    <row r="1007" spans="2:29" ht="15" x14ac:dyDescent="0.2">
      <c r="B1007" s="8"/>
      <c r="K1007" s="8"/>
      <c r="T1007" s="8"/>
      <c r="AC1007" s="8"/>
    </row>
    <row r="1008" spans="2:29" ht="15" x14ac:dyDescent="0.2">
      <c r="B1008" s="8"/>
      <c r="K1008" s="8"/>
      <c r="T1008" s="8"/>
      <c r="AC1008" s="8"/>
    </row>
    <row r="1009" spans="2:29" ht="15" x14ac:dyDescent="0.2">
      <c r="B1009" s="8"/>
      <c r="K1009" s="8"/>
      <c r="T1009" s="8"/>
      <c r="AC1009" s="8"/>
    </row>
    <row r="1010" spans="2:29" ht="15" x14ac:dyDescent="0.2">
      <c r="B1010" s="8"/>
      <c r="K1010" s="8"/>
      <c r="T1010" s="8"/>
      <c r="AC1010" s="8"/>
    </row>
    <row r="1011" spans="2:29" ht="15" x14ac:dyDescent="0.2">
      <c r="B1011" s="8"/>
      <c r="K1011" s="8"/>
      <c r="T1011" s="8"/>
      <c r="AC1011" s="8"/>
    </row>
    <row r="1012" spans="2:29" ht="15" x14ac:dyDescent="0.2">
      <c r="B1012" s="8"/>
      <c r="K1012" s="8"/>
      <c r="T1012" s="8"/>
      <c r="AC1012" s="8"/>
    </row>
    <row r="1013" spans="2:29" ht="15" x14ac:dyDescent="0.2">
      <c r="B1013" s="8"/>
      <c r="K1013" s="8"/>
      <c r="T1013" s="8"/>
      <c r="AC1013" s="8"/>
    </row>
    <row r="1014" spans="2:29" ht="15" x14ac:dyDescent="0.2">
      <c r="B1014" s="8"/>
      <c r="K1014" s="8"/>
      <c r="T1014" s="8"/>
      <c r="AC1014" s="8"/>
    </row>
    <row r="1015" spans="2:29" ht="15" x14ac:dyDescent="0.2">
      <c r="B1015" s="8"/>
      <c r="K1015" s="8"/>
      <c r="T1015" s="8"/>
      <c r="AC1015" s="8"/>
    </row>
    <row r="1016" spans="2:29" ht="15" x14ac:dyDescent="0.2">
      <c r="B1016" s="8"/>
      <c r="K1016" s="8"/>
      <c r="T1016" s="8"/>
      <c r="AC1016" s="8"/>
    </row>
    <row r="1017" spans="2:29" ht="15" x14ac:dyDescent="0.2">
      <c r="B1017" s="8"/>
      <c r="K1017" s="8"/>
      <c r="T1017" s="8"/>
      <c r="AC1017" s="8"/>
    </row>
    <row r="1018" spans="2:29" ht="15" x14ac:dyDescent="0.2">
      <c r="B1018" s="8"/>
      <c r="K1018" s="8"/>
      <c r="T1018" s="8"/>
      <c r="AC1018" s="8"/>
    </row>
    <row r="1019" spans="2:29" ht="15" x14ac:dyDescent="0.2">
      <c r="B1019" s="8"/>
      <c r="K1019" s="8"/>
      <c r="T1019" s="8"/>
      <c r="AC1019" s="8"/>
    </row>
    <row r="1020" spans="2:29" ht="15" x14ac:dyDescent="0.2">
      <c r="B1020" s="8"/>
      <c r="K1020" s="8"/>
      <c r="T1020" s="8"/>
      <c r="AC1020" s="8"/>
    </row>
    <row r="1021" spans="2:29" ht="15" x14ac:dyDescent="0.2">
      <c r="B1021" s="8"/>
      <c r="K1021" s="8"/>
      <c r="T1021" s="8"/>
      <c r="AC1021" s="8"/>
    </row>
    <row r="1022" spans="2:29" ht="15" x14ac:dyDescent="0.2">
      <c r="B1022" s="8"/>
      <c r="K1022" s="8"/>
      <c r="T1022" s="8"/>
      <c r="AC1022" s="8"/>
    </row>
    <row r="1023" spans="2:29" ht="15" x14ac:dyDescent="0.2">
      <c r="B1023" s="8"/>
      <c r="K1023" s="8"/>
      <c r="T1023" s="8"/>
      <c r="AC1023" s="8"/>
    </row>
    <row r="1024" spans="2:29" ht="15" x14ac:dyDescent="0.2">
      <c r="B1024" s="8"/>
      <c r="K1024" s="8"/>
      <c r="T1024" s="8"/>
      <c r="AC1024" s="8"/>
    </row>
    <row r="1025" spans="2:29" ht="15" x14ac:dyDescent="0.2">
      <c r="B1025" s="8"/>
      <c r="K1025" s="8"/>
      <c r="T1025" s="8"/>
      <c r="AC1025" s="8"/>
    </row>
    <row r="1026" spans="2:29" ht="15" x14ac:dyDescent="0.2">
      <c r="B1026" s="8"/>
      <c r="K1026" s="8"/>
      <c r="T1026" s="8"/>
      <c r="AC1026" s="8"/>
    </row>
    <row r="1027" spans="2:29" ht="15" x14ac:dyDescent="0.2">
      <c r="B1027" s="8"/>
      <c r="K1027" s="8"/>
      <c r="T1027" s="8"/>
      <c r="AC1027" s="8"/>
    </row>
    <row r="1028" spans="2:29" ht="15" x14ac:dyDescent="0.2">
      <c r="B1028" s="8"/>
      <c r="K1028" s="8"/>
      <c r="T1028" s="8"/>
      <c r="AC1028" s="8"/>
    </row>
    <row r="1029" spans="2:29" ht="15" x14ac:dyDescent="0.2">
      <c r="B1029" s="8"/>
      <c r="K1029" s="8"/>
      <c r="T1029" s="8"/>
      <c r="AC1029" s="8"/>
    </row>
    <row r="1030" spans="2:29" ht="15" x14ac:dyDescent="0.2">
      <c r="B1030" s="8"/>
      <c r="K1030" s="8"/>
      <c r="T1030" s="8"/>
      <c r="AC1030" s="8"/>
    </row>
    <row r="1031" spans="2:29" ht="15" x14ac:dyDescent="0.2">
      <c r="B1031" s="8"/>
      <c r="K1031" s="8"/>
      <c r="T1031" s="8"/>
      <c r="AC1031" s="8"/>
    </row>
    <row r="1032" spans="2:29" ht="15" x14ac:dyDescent="0.2">
      <c r="B1032" s="8"/>
      <c r="K1032" s="8"/>
      <c r="T1032" s="8"/>
      <c r="AC1032" s="8"/>
    </row>
    <row r="1033" spans="2:29" ht="15" x14ac:dyDescent="0.2">
      <c r="B1033" s="8"/>
      <c r="K1033" s="8"/>
      <c r="T1033" s="8"/>
      <c r="AC1033" s="8"/>
    </row>
    <row r="1034" spans="2:29" ht="15" x14ac:dyDescent="0.2">
      <c r="B1034" s="8"/>
      <c r="K1034" s="8"/>
      <c r="T1034" s="8"/>
      <c r="AC1034" s="8"/>
    </row>
    <row r="1035" spans="2:29" ht="15" x14ac:dyDescent="0.2">
      <c r="B1035" s="8"/>
      <c r="K1035" s="8"/>
      <c r="T1035" s="8"/>
      <c r="AC1035" s="8"/>
    </row>
    <row r="1036" spans="2:29" ht="15" x14ac:dyDescent="0.2">
      <c r="B1036" s="8"/>
      <c r="K1036" s="8"/>
      <c r="T1036" s="8"/>
      <c r="AC1036" s="8"/>
    </row>
    <row r="1037" spans="2:29" ht="15" x14ac:dyDescent="0.2">
      <c r="B1037" s="8"/>
      <c r="K1037" s="8"/>
      <c r="T1037" s="8"/>
      <c r="AC1037" s="8"/>
    </row>
    <row r="1038" spans="2:29" ht="15" x14ac:dyDescent="0.2">
      <c r="B1038" s="8"/>
      <c r="K1038" s="8"/>
      <c r="T1038" s="8"/>
      <c r="AC1038" s="8"/>
    </row>
    <row r="1039" spans="2:29" ht="15" x14ac:dyDescent="0.2">
      <c r="B1039" s="8"/>
      <c r="K1039" s="8"/>
      <c r="T1039" s="8"/>
      <c r="AC1039" s="8"/>
    </row>
    <row r="1040" spans="2:29" ht="15" x14ac:dyDescent="0.2">
      <c r="B1040" s="8"/>
      <c r="K1040" s="8"/>
      <c r="T1040" s="8"/>
      <c r="AC1040" s="8"/>
    </row>
    <row r="1041" spans="2:29" ht="15" x14ac:dyDescent="0.2">
      <c r="B1041" s="8"/>
      <c r="K1041" s="8"/>
      <c r="T1041" s="8"/>
      <c r="AC1041" s="8"/>
    </row>
    <row r="1042" spans="2:29" ht="15" x14ac:dyDescent="0.2">
      <c r="B1042" s="8"/>
      <c r="K1042" s="8"/>
      <c r="T1042" s="8"/>
      <c r="AC1042" s="8"/>
    </row>
    <row r="1043" spans="2:29" ht="15" x14ac:dyDescent="0.2">
      <c r="B1043" s="8"/>
      <c r="K1043" s="8"/>
      <c r="T1043" s="8"/>
      <c r="AC1043" s="8"/>
    </row>
    <row r="1044" spans="2:29" ht="15" x14ac:dyDescent="0.2">
      <c r="B1044" s="8"/>
      <c r="K1044" s="8"/>
      <c r="T1044" s="8"/>
      <c r="AC1044" s="8"/>
    </row>
    <row r="1045" spans="2:29" ht="15" x14ac:dyDescent="0.2">
      <c r="B1045" s="8"/>
      <c r="K1045" s="8"/>
      <c r="T1045" s="8"/>
      <c r="AC1045" s="8"/>
    </row>
    <row r="1046" spans="2:29" ht="15" x14ac:dyDescent="0.2">
      <c r="B1046" s="8"/>
      <c r="K1046" s="8"/>
      <c r="T1046" s="8"/>
      <c r="AC1046" s="8"/>
    </row>
    <row r="1047" spans="2:29" ht="15" x14ac:dyDescent="0.2">
      <c r="B1047" s="8"/>
      <c r="K1047" s="8"/>
      <c r="T1047" s="8"/>
      <c r="AC1047" s="8"/>
    </row>
    <row r="1048" spans="2:29" ht="15" x14ac:dyDescent="0.2">
      <c r="B1048" s="8"/>
      <c r="K1048" s="8"/>
      <c r="T1048" s="8"/>
      <c r="AC1048" s="8"/>
    </row>
    <row r="1049" spans="2:29" ht="15" x14ac:dyDescent="0.2">
      <c r="B1049" s="8"/>
      <c r="K1049" s="8"/>
      <c r="T1049" s="8"/>
      <c r="AC1049" s="8"/>
    </row>
    <row r="1050" spans="2:29" ht="15" x14ac:dyDescent="0.2">
      <c r="B1050" s="8"/>
      <c r="K1050" s="8"/>
      <c r="T1050" s="8"/>
      <c r="AC1050" s="8"/>
    </row>
    <row r="1051" spans="2:29" ht="15" x14ac:dyDescent="0.2">
      <c r="B1051" s="8"/>
      <c r="K1051" s="8"/>
      <c r="T1051" s="8"/>
      <c r="AC1051" s="8"/>
    </row>
    <row r="1052" spans="2:29" ht="15" x14ac:dyDescent="0.2">
      <c r="B1052" s="8"/>
      <c r="K1052" s="8"/>
      <c r="T1052" s="8"/>
      <c r="AC1052" s="8"/>
    </row>
    <row r="1053" spans="2:29" ht="15" x14ac:dyDescent="0.2">
      <c r="B1053" s="8"/>
      <c r="K1053" s="8"/>
      <c r="T1053" s="8"/>
      <c r="AC1053" s="8"/>
    </row>
    <row r="1054" spans="2:29" ht="15" x14ac:dyDescent="0.2">
      <c r="B1054" s="8"/>
      <c r="K1054" s="8"/>
      <c r="T1054" s="8"/>
      <c r="AC1054" s="8"/>
    </row>
    <row r="1055" spans="2:29" ht="15" x14ac:dyDescent="0.2">
      <c r="B1055" s="8"/>
      <c r="K1055" s="8"/>
      <c r="T1055" s="8"/>
      <c r="AC1055" s="8"/>
    </row>
    <row r="1056" spans="2:29" ht="15" x14ac:dyDescent="0.2">
      <c r="B1056" s="8"/>
      <c r="K1056" s="8"/>
      <c r="T1056" s="8"/>
      <c r="AC1056" s="8"/>
    </row>
    <row r="1057" spans="2:29" ht="15" x14ac:dyDescent="0.2">
      <c r="B1057" s="8"/>
      <c r="K1057" s="8"/>
      <c r="T1057" s="8"/>
      <c r="AC1057" s="8"/>
    </row>
    <row r="1058" spans="2:29" ht="15" x14ac:dyDescent="0.2">
      <c r="B1058" s="8"/>
      <c r="K1058" s="8"/>
      <c r="T1058" s="8"/>
      <c r="AC1058" s="8"/>
    </row>
    <row r="1059" spans="2:29" ht="15" x14ac:dyDescent="0.2">
      <c r="B1059" s="8"/>
      <c r="K1059" s="8"/>
      <c r="T1059" s="8"/>
      <c r="AC1059" s="8"/>
    </row>
    <row r="1060" spans="2:29" ht="15" x14ac:dyDescent="0.2">
      <c r="B1060" s="8"/>
      <c r="K1060" s="8"/>
      <c r="T1060" s="8"/>
      <c r="AC1060" s="8"/>
    </row>
    <row r="1061" spans="2:29" ht="15" x14ac:dyDescent="0.2">
      <c r="B1061" s="8"/>
      <c r="K1061" s="8"/>
      <c r="T1061" s="8"/>
      <c r="AC1061" s="8"/>
    </row>
    <row r="1062" spans="2:29" ht="15" x14ac:dyDescent="0.2">
      <c r="B1062" s="8"/>
      <c r="K1062" s="8"/>
      <c r="T1062" s="8"/>
      <c r="AC1062" s="8"/>
    </row>
    <row r="1063" spans="2:29" ht="15" x14ac:dyDescent="0.2">
      <c r="B1063" s="8"/>
      <c r="K1063" s="8"/>
      <c r="T1063" s="8"/>
      <c r="AC1063" s="8"/>
    </row>
    <row r="1064" spans="2:29" ht="15" x14ac:dyDescent="0.2">
      <c r="B1064" s="8"/>
      <c r="K1064" s="8"/>
      <c r="T1064" s="8"/>
      <c r="AC1064" s="8"/>
    </row>
    <row r="1065" spans="2:29" ht="15" x14ac:dyDescent="0.2">
      <c r="B1065" s="8"/>
      <c r="K1065" s="8"/>
      <c r="T1065" s="8"/>
      <c r="AC1065" s="8"/>
    </row>
    <row r="1066" spans="2:29" ht="15" x14ac:dyDescent="0.2">
      <c r="B1066" s="8"/>
      <c r="K1066" s="8"/>
      <c r="T1066" s="8"/>
      <c r="AC1066" s="8"/>
    </row>
    <row r="1067" spans="2:29" ht="15" x14ac:dyDescent="0.2">
      <c r="B1067" s="8"/>
      <c r="K1067" s="8"/>
      <c r="T1067" s="8"/>
      <c r="AC1067" s="8"/>
    </row>
    <row r="1068" spans="2:29" ht="15" x14ac:dyDescent="0.2">
      <c r="B1068" s="8"/>
      <c r="K1068" s="8"/>
      <c r="T1068" s="8"/>
      <c r="AC1068" s="8"/>
    </row>
    <row r="1069" spans="2:29" ht="15" x14ac:dyDescent="0.2">
      <c r="B1069" s="8"/>
      <c r="K1069" s="8"/>
      <c r="T1069" s="8"/>
      <c r="AC1069" s="8"/>
    </row>
    <row r="1070" spans="2:29" ht="15" x14ac:dyDescent="0.2">
      <c r="B1070" s="8"/>
      <c r="K1070" s="8"/>
      <c r="T1070" s="8"/>
      <c r="AC1070" s="8"/>
    </row>
    <row r="1071" spans="2:29" ht="15" x14ac:dyDescent="0.2">
      <c r="B1071" s="8"/>
      <c r="K1071" s="8"/>
      <c r="T1071" s="8"/>
      <c r="AC1071" s="8"/>
    </row>
    <row r="1072" spans="2:29" ht="15" x14ac:dyDescent="0.2">
      <c r="B1072" s="8"/>
      <c r="K1072" s="8"/>
      <c r="T1072" s="8"/>
      <c r="AC1072" s="8"/>
    </row>
    <row r="1073" spans="2:29" ht="15" x14ac:dyDescent="0.2">
      <c r="B1073" s="8"/>
      <c r="K1073" s="8"/>
      <c r="T1073" s="8"/>
      <c r="AC1073" s="8"/>
    </row>
    <row r="1074" spans="2:29" ht="15" x14ac:dyDescent="0.2">
      <c r="B1074" s="8"/>
      <c r="K1074" s="8"/>
      <c r="T1074" s="8"/>
      <c r="AC1074" s="8"/>
    </row>
    <row r="1075" spans="2:29" ht="15" x14ac:dyDescent="0.2">
      <c r="B1075" s="8"/>
      <c r="K1075" s="8"/>
      <c r="T1075" s="8"/>
      <c r="AC1075" s="8"/>
    </row>
    <row r="1076" spans="2:29" ht="15" x14ac:dyDescent="0.2">
      <c r="B1076" s="8"/>
      <c r="K1076" s="8"/>
      <c r="T1076" s="8"/>
      <c r="AC1076" s="8"/>
    </row>
    <row r="1077" spans="2:29" ht="15" x14ac:dyDescent="0.2">
      <c r="B1077" s="8"/>
      <c r="K1077" s="8"/>
      <c r="T1077" s="8"/>
      <c r="AC1077" s="8"/>
    </row>
    <row r="1078" spans="2:29" ht="15" x14ac:dyDescent="0.2">
      <c r="B1078" s="8"/>
      <c r="K1078" s="8"/>
      <c r="T1078" s="8"/>
      <c r="AC1078" s="8"/>
    </row>
    <row r="1079" spans="2:29" ht="15" x14ac:dyDescent="0.2">
      <c r="B1079" s="8"/>
      <c r="K1079" s="8"/>
      <c r="T1079" s="8"/>
      <c r="AC1079" s="8"/>
    </row>
    <row r="1080" spans="2:29" ht="15" x14ac:dyDescent="0.2">
      <c r="B1080" s="8"/>
      <c r="K1080" s="8"/>
      <c r="T1080" s="8"/>
      <c r="AC1080" s="8"/>
    </row>
    <row r="1081" spans="2:29" ht="15" x14ac:dyDescent="0.2">
      <c r="B1081" s="8"/>
      <c r="K1081" s="8"/>
      <c r="T1081" s="8"/>
      <c r="AC1081" s="8"/>
    </row>
    <row r="1082" spans="2:29" ht="15" x14ac:dyDescent="0.2">
      <c r="B1082" s="8"/>
      <c r="K1082" s="8"/>
      <c r="T1082" s="8"/>
      <c r="AC1082" s="8"/>
    </row>
    <row r="1083" spans="2:29" ht="15" x14ac:dyDescent="0.2">
      <c r="B1083" s="8"/>
      <c r="K1083" s="8"/>
      <c r="T1083" s="8"/>
      <c r="AC1083" s="8"/>
    </row>
    <row r="1084" spans="2:29" ht="15" x14ac:dyDescent="0.2">
      <c r="B1084" s="8"/>
      <c r="K1084" s="8"/>
      <c r="T1084" s="8"/>
      <c r="AC1084" s="8"/>
    </row>
    <row r="1085" spans="2:29" ht="15" x14ac:dyDescent="0.2">
      <c r="B1085" s="8"/>
      <c r="K1085" s="8"/>
      <c r="T1085" s="8"/>
      <c r="AC1085" s="8"/>
    </row>
    <row r="1086" spans="2:29" ht="15" x14ac:dyDescent="0.2">
      <c r="B1086" s="8"/>
      <c r="K1086" s="8"/>
      <c r="T1086" s="8"/>
      <c r="AC1086" s="8"/>
    </row>
    <row r="1087" spans="2:29" ht="15" x14ac:dyDescent="0.2">
      <c r="B1087" s="8"/>
      <c r="K1087" s="8"/>
      <c r="T1087" s="8"/>
      <c r="AC1087" s="8"/>
    </row>
    <row r="1088" spans="2:29" ht="15" x14ac:dyDescent="0.2">
      <c r="B1088" s="8"/>
      <c r="K1088" s="8"/>
      <c r="T1088" s="8"/>
      <c r="AC1088" s="8"/>
    </row>
    <row r="1089" spans="2:29" ht="15" x14ac:dyDescent="0.2">
      <c r="B1089" s="8"/>
      <c r="K1089" s="8"/>
      <c r="T1089" s="8"/>
      <c r="AC1089" s="8"/>
    </row>
    <row r="1090" spans="2:29" ht="15" x14ac:dyDescent="0.2">
      <c r="B1090" s="8"/>
      <c r="K1090" s="8"/>
      <c r="T1090" s="8"/>
      <c r="AC1090" s="8"/>
    </row>
    <row r="1091" spans="2:29" ht="15" x14ac:dyDescent="0.2">
      <c r="B1091" s="8"/>
      <c r="K1091" s="8"/>
      <c r="T1091" s="8"/>
      <c r="AC1091" s="8"/>
    </row>
    <row r="1092" spans="2:29" ht="15" x14ac:dyDescent="0.2">
      <c r="B1092" s="8"/>
      <c r="K1092" s="8"/>
      <c r="T1092" s="8"/>
      <c r="AC1092" s="8"/>
    </row>
    <row r="1093" spans="2:29" ht="15" x14ac:dyDescent="0.2">
      <c r="B1093" s="8"/>
      <c r="K1093" s="8"/>
      <c r="T1093" s="8"/>
      <c r="AC1093" s="8"/>
    </row>
    <row r="1094" spans="2:29" ht="15" x14ac:dyDescent="0.2">
      <c r="B1094" s="8"/>
      <c r="K1094" s="8"/>
      <c r="T1094" s="8"/>
      <c r="AC1094" s="8"/>
    </row>
    <row r="1095" spans="2:29" ht="15" x14ac:dyDescent="0.2">
      <c r="B1095" s="8"/>
      <c r="K1095" s="8"/>
      <c r="T1095" s="8"/>
      <c r="AC1095" s="8"/>
    </row>
    <row r="1096" spans="2:29" ht="15" x14ac:dyDescent="0.2">
      <c r="B1096" s="8"/>
      <c r="K1096" s="8"/>
      <c r="T1096" s="8"/>
      <c r="AC1096" s="8"/>
    </row>
    <row r="1097" spans="2:29" ht="15" x14ac:dyDescent="0.2">
      <c r="B1097" s="8"/>
      <c r="K1097" s="8"/>
      <c r="T1097" s="8"/>
      <c r="AC1097" s="8"/>
    </row>
    <row r="1098" spans="2:29" ht="15" x14ac:dyDescent="0.2">
      <c r="B1098" s="8"/>
      <c r="K1098" s="8"/>
      <c r="T1098" s="8"/>
      <c r="AC1098" s="8"/>
    </row>
    <row r="1099" spans="2:29" ht="15" x14ac:dyDescent="0.2">
      <c r="B1099" s="8"/>
      <c r="K1099" s="8"/>
      <c r="T1099" s="8"/>
      <c r="AC1099" s="8"/>
    </row>
    <row r="1100" spans="2:29" ht="15" x14ac:dyDescent="0.2">
      <c r="B1100" s="8"/>
      <c r="K1100" s="8"/>
      <c r="T1100" s="8"/>
      <c r="AC1100" s="8"/>
    </row>
    <row r="1101" spans="2:29" ht="15" x14ac:dyDescent="0.2">
      <c r="B1101" s="8"/>
      <c r="K1101" s="8"/>
      <c r="T1101" s="8"/>
      <c r="AC1101" s="8"/>
    </row>
    <row r="1102" spans="2:29" ht="15" x14ac:dyDescent="0.2">
      <c r="B1102" s="8"/>
      <c r="K1102" s="8"/>
      <c r="T1102" s="8"/>
      <c r="AC1102" s="8"/>
    </row>
    <row r="1103" spans="2:29" ht="15" x14ac:dyDescent="0.2">
      <c r="B1103" s="8"/>
      <c r="K1103" s="8"/>
      <c r="T1103" s="8"/>
      <c r="AC1103" s="8"/>
    </row>
    <row r="1104" spans="2:29" ht="15" x14ac:dyDescent="0.2">
      <c r="B1104" s="8"/>
      <c r="K1104" s="8"/>
      <c r="T1104" s="8"/>
      <c r="AC1104" s="8"/>
    </row>
    <row r="1105" spans="2:29" ht="15" x14ac:dyDescent="0.2">
      <c r="B1105" s="8"/>
      <c r="K1105" s="8"/>
      <c r="T1105" s="8"/>
      <c r="AC1105" s="8"/>
    </row>
    <row r="1106" spans="2:29" ht="15" x14ac:dyDescent="0.2">
      <c r="B1106" s="8"/>
      <c r="K1106" s="8"/>
      <c r="T1106" s="8"/>
      <c r="AC1106" s="8"/>
    </row>
    <row r="1107" spans="2:29" ht="15" x14ac:dyDescent="0.2">
      <c r="B1107" s="8"/>
      <c r="K1107" s="8"/>
      <c r="T1107" s="8"/>
      <c r="AC1107" s="8"/>
    </row>
    <row r="1108" spans="2:29" ht="15" x14ac:dyDescent="0.2">
      <c r="B1108" s="8"/>
      <c r="K1108" s="8"/>
      <c r="T1108" s="8"/>
      <c r="AC1108" s="8"/>
    </row>
    <row r="1109" spans="2:29" ht="15" x14ac:dyDescent="0.2">
      <c r="B1109" s="8"/>
      <c r="K1109" s="8"/>
      <c r="T1109" s="8"/>
      <c r="AC1109" s="8"/>
    </row>
    <row r="1110" spans="2:29" ht="15" x14ac:dyDescent="0.2">
      <c r="B1110" s="8"/>
      <c r="K1110" s="8"/>
      <c r="T1110" s="8"/>
      <c r="AC1110" s="8"/>
    </row>
    <row r="1111" spans="2:29" ht="15" x14ac:dyDescent="0.2">
      <c r="B1111" s="8"/>
      <c r="K1111" s="8"/>
      <c r="T1111" s="8"/>
      <c r="AC1111" s="8"/>
    </row>
    <row r="1112" spans="2:29" ht="15" x14ac:dyDescent="0.2">
      <c r="B1112" s="8"/>
      <c r="K1112" s="8"/>
      <c r="T1112" s="8"/>
      <c r="AC1112" s="8"/>
    </row>
    <row r="1113" spans="2:29" ht="15" x14ac:dyDescent="0.2">
      <c r="B1113" s="8"/>
      <c r="K1113" s="8"/>
      <c r="T1113" s="8"/>
      <c r="AC1113" s="8"/>
    </row>
    <row r="1114" spans="2:29" ht="15" x14ac:dyDescent="0.2">
      <c r="B1114" s="8"/>
      <c r="K1114" s="8"/>
      <c r="T1114" s="8"/>
      <c r="AC1114" s="8"/>
    </row>
    <row r="1115" spans="2:29" ht="15" x14ac:dyDescent="0.2">
      <c r="B1115" s="8"/>
      <c r="K1115" s="8"/>
      <c r="T1115" s="8"/>
      <c r="AC1115" s="8"/>
    </row>
    <row r="1116" spans="2:29" ht="15" x14ac:dyDescent="0.2">
      <c r="B1116" s="8"/>
      <c r="K1116" s="8"/>
      <c r="T1116" s="8"/>
      <c r="AC1116" s="8"/>
    </row>
    <row r="1117" spans="2:29" ht="15" x14ac:dyDescent="0.2">
      <c r="B1117" s="8"/>
      <c r="K1117" s="8"/>
      <c r="T1117" s="8"/>
      <c r="AC1117" s="8"/>
    </row>
    <row r="1118" spans="2:29" ht="15" x14ac:dyDescent="0.2">
      <c r="B1118" s="8"/>
      <c r="K1118" s="8"/>
      <c r="T1118" s="8"/>
      <c r="AC1118" s="8"/>
    </row>
    <row r="1119" spans="2:29" ht="15" x14ac:dyDescent="0.2">
      <c r="B1119" s="8"/>
      <c r="K1119" s="8"/>
      <c r="T1119" s="8"/>
      <c r="AC1119" s="8"/>
    </row>
    <row r="1120" spans="2:29" ht="15" x14ac:dyDescent="0.2">
      <c r="B1120" s="8"/>
      <c r="K1120" s="8"/>
      <c r="T1120" s="8"/>
      <c r="AC1120" s="8"/>
    </row>
    <row r="1121" spans="2:29" ht="15" x14ac:dyDescent="0.2">
      <c r="B1121" s="8"/>
      <c r="K1121" s="8"/>
      <c r="T1121" s="8"/>
      <c r="AC1121" s="8"/>
    </row>
    <row r="1122" spans="2:29" ht="15" x14ac:dyDescent="0.2">
      <c r="B1122" s="8"/>
      <c r="K1122" s="8"/>
      <c r="T1122" s="8"/>
      <c r="AC1122" s="8"/>
    </row>
    <row r="1123" spans="2:29" ht="15" x14ac:dyDescent="0.2">
      <c r="B1123" s="8"/>
      <c r="K1123" s="8"/>
      <c r="T1123" s="8"/>
      <c r="AC1123" s="8"/>
    </row>
    <row r="1124" spans="2:29" ht="15" x14ac:dyDescent="0.2">
      <c r="B1124" s="8"/>
      <c r="K1124" s="8"/>
      <c r="T1124" s="8"/>
      <c r="AC1124" s="8"/>
    </row>
    <row r="1125" spans="2:29" ht="15" x14ac:dyDescent="0.2">
      <c r="B1125" s="8"/>
      <c r="K1125" s="8"/>
      <c r="T1125" s="8"/>
      <c r="AC1125" s="8"/>
    </row>
    <row r="1126" spans="2:29" ht="15" x14ac:dyDescent="0.2">
      <c r="B1126" s="8"/>
      <c r="K1126" s="8"/>
      <c r="T1126" s="8"/>
      <c r="AC1126" s="8"/>
    </row>
    <row r="1127" spans="2:29" ht="15" x14ac:dyDescent="0.2">
      <c r="B1127" s="8"/>
      <c r="K1127" s="8"/>
      <c r="T1127" s="8"/>
      <c r="AC1127" s="8"/>
    </row>
    <row r="1128" spans="2:29" ht="15" x14ac:dyDescent="0.2">
      <c r="B1128" s="8"/>
      <c r="K1128" s="8"/>
      <c r="T1128" s="8"/>
      <c r="AC1128" s="8"/>
    </row>
    <row r="1129" spans="2:29" ht="15" x14ac:dyDescent="0.2">
      <c r="B1129" s="8"/>
      <c r="K1129" s="8"/>
      <c r="T1129" s="8"/>
      <c r="AC1129" s="8"/>
    </row>
    <row r="1130" spans="2:29" ht="15" x14ac:dyDescent="0.2">
      <c r="B1130" s="8"/>
      <c r="K1130" s="8"/>
      <c r="T1130" s="8"/>
      <c r="AC1130" s="8"/>
    </row>
    <row r="1131" spans="2:29" ht="15" x14ac:dyDescent="0.2">
      <c r="B1131" s="8"/>
      <c r="K1131" s="8"/>
      <c r="T1131" s="8"/>
      <c r="AC1131" s="8"/>
    </row>
    <row r="1132" spans="2:29" ht="15" x14ac:dyDescent="0.2">
      <c r="B1132" s="8"/>
      <c r="K1132" s="8"/>
      <c r="T1132" s="8"/>
      <c r="AC1132" s="8"/>
    </row>
    <row r="1133" spans="2:29" ht="15" x14ac:dyDescent="0.2">
      <c r="B1133" s="8"/>
      <c r="K1133" s="8"/>
      <c r="T1133" s="8"/>
      <c r="AC1133" s="8"/>
    </row>
    <row r="1134" spans="2:29" ht="15" x14ac:dyDescent="0.2">
      <c r="B1134" s="8"/>
      <c r="K1134" s="8"/>
      <c r="T1134" s="8"/>
      <c r="AC1134" s="8"/>
    </row>
    <row r="1135" spans="2:29" ht="15" x14ac:dyDescent="0.2">
      <c r="B1135" s="8"/>
      <c r="K1135" s="8"/>
      <c r="T1135" s="8"/>
      <c r="AC1135" s="8"/>
    </row>
    <row r="1136" spans="2:29" ht="15" x14ac:dyDescent="0.2">
      <c r="B1136" s="8"/>
      <c r="K1136" s="8"/>
      <c r="T1136" s="8"/>
      <c r="AC1136" s="8"/>
    </row>
    <row r="1137" spans="2:29" ht="15" x14ac:dyDescent="0.2">
      <c r="B1137" s="8"/>
      <c r="K1137" s="8"/>
      <c r="T1137" s="8"/>
      <c r="AC1137" s="8"/>
    </row>
    <row r="1138" spans="2:29" ht="15" x14ac:dyDescent="0.2">
      <c r="B1138" s="8"/>
      <c r="K1138" s="8"/>
      <c r="T1138" s="8"/>
      <c r="AC1138" s="8"/>
    </row>
    <row r="1139" spans="2:29" ht="15" x14ac:dyDescent="0.2">
      <c r="B1139" s="8"/>
      <c r="K1139" s="8"/>
      <c r="T1139" s="8"/>
      <c r="AC1139" s="8"/>
    </row>
    <row r="1140" spans="2:29" ht="15" x14ac:dyDescent="0.2">
      <c r="B1140" s="8"/>
      <c r="K1140" s="8"/>
      <c r="T1140" s="8"/>
      <c r="AC1140" s="8"/>
    </row>
    <row r="1141" spans="2:29" ht="15" x14ac:dyDescent="0.2">
      <c r="B1141" s="8"/>
      <c r="K1141" s="8"/>
      <c r="T1141" s="8"/>
      <c r="AC1141" s="8"/>
    </row>
    <row r="1142" spans="2:29" ht="15" x14ac:dyDescent="0.2">
      <c r="B1142" s="8"/>
      <c r="K1142" s="8"/>
      <c r="T1142" s="8"/>
      <c r="AC1142" s="8"/>
    </row>
    <row r="1143" spans="2:29" ht="15" x14ac:dyDescent="0.2">
      <c r="B1143" s="8"/>
      <c r="K1143" s="8"/>
      <c r="T1143" s="8"/>
      <c r="AC1143" s="8"/>
    </row>
    <row r="1144" spans="2:29" ht="15" x14ac:dyDescent="0.2">
      <c r="B1144" s="8"/>
      <c r="K1144" s="8"/>
      <c r="T1144" s="8"/>
      <c r="AC1144" s="8"/>
    </row>
    <row r="1145" spans="2:29" ht="15" x14ac:dyDescent="0.2">
      <c r="B1145" s="8"/>
      <c r="K1145" s="8"/>
      <c r="T1145" s="8"/>
      <c r="AC1145" s="8"/>
    </row>
    <row r="1146" spans="2:29" ht="15" x14ac:dyDescent="0.2">
      <c r="B1146" s="8"/>
      <c r="K1146" s="8"/>
      <c r="T1146" s="8"/>
      <c r="AC1146" s="8"/>
    </row>
    <row r="1147" spans="2:29" ht="15" x14ac:dyDescent="0.2">
      <c r="B1147" s="8"/>
      <c r="K1147" s="8"/>
      <c r="T1147" s="8"/>
      <c r="AC1147" s="8"/>
    </row>
    <row r="1148" spans="2:29" ht="15" x14ac:dyDescent="0.2">
      <c r="B1148" s="8"/>
      <c r="K1148" s="8"/>
      <c r="T1148" s="8"/>
      <c r="AC1148" s="8"/>
    </row>
    <row r="1149" spans="2:29" ht="15" x14ac:dyDescent="0.2">
      <c r="B1149" s="8"/>
      <c r="K1149" s="8"/>
      <c r="T1149" s="8"/>
      <c r="AC1149" s="8"/>
    </row>
    <row r="1150" spans="2:29" ht="15" x14ac:dyDescent="0.2">
      <c r="B1150" s="8"/>
      <c r="K1150" s="8"/>
      <c r="T1150" s="8"/>
      <c r="AC1150" s="8"/>
    </row>
    <row r="1151" spans="2:29" ht="15" x14ac:dyDescent="0.2">
      <c r="B1151" s="8"/>
      <c r="K1151" s="8"/>
      <c r="T1151" s="8"/>
      <c r="AC1151" s="8"/>
    </row>
    <row r="1152" spans="2:29" ht="15" x14ac:dyDescent="0.2">
      <c r="B1152" s="8"/>
      <c r="K1152" s="8"/>
      <c r="T1152" s="8"/>
      <c r="AC1152" s="8"/>
    </row>
    <row r="1153" spans="2:29" ht="15" x14ac:dyDescent="0.2">
      <c r="B1153" s="8"/>
      <c r="K1153" s="8"/>
      <c r="T1153" s="8"/>
      <c r="AC1153" s="8"/>
    </row>
    <row r="1154" spans="2:29" ht="15" x14ac:dyDescent="0.2">
      <c r="B1154" s="8"/>
      <c r="K1154" s="8"/>
      <c r="T1154" s="8"/>
      <c r="AC1154" s="8"/>
    </row>
    <row r="1155" spans="2:29" ht="15" x14ac:dyDescent="0.2">
      <c r="B1155" s="8"/>
      <c r="K1155" s="8"/>
      <c r="T1155" s="8"/>
      <c r="AC1155" s="8"/>
    </row>
    <row r="1156" spans="2:29" ht="15" x14ac:dyDescent="0.2">
      <c r="B1156" s="8"/>
      <c r="K1156" s="8"/>
      <c r="T1156" s="8"/>
      <c r="AC1156" s="8"/>
    </row>
    <row r="1157" spans="2:29" ht="15" x14ac:dyDescent="0.2">
      <c r="B1157" s="8"/>
      <c r="K1157" s="8"/>
      <c r="T1157" s="8"/>
      <c r="AC1157" s="8"/>
    </row>
    <row r="1158" spans="2:29" ht="15" x14ac:dyDescent="0.2">
      <c r="B1158" s="8"/>
      <c r="K1158" s="8"/>
      <c r="T1158" s="8"/>
      <c r="AC1158" s="8"/>
    </row>
    <row r="1159" spans="2:29" ht="15" x14ac:dyDescent="0.2">
      <c r="B1159" s="8"/>
      <c r="K1159" s="8"/>
      <c r="T1159" s="8"/>
      <c r="AC1159" s="8"/>
    </row>
    <row r="1160" spans="2:29" ht="15" x14ac:dyDescent="0.2">
      <c r="B1160" s="8"/>
      <c r="K1160" s="8"/>
      <c r="T1160" s="8"/>
      <c r="AC1160" s="8"/>
    </row>
    <row r="1161" spans="2:29" ht="15" x14ac:dyDescent="0.2">
      <c r="B1161" s="8"/>
      <c r="K1161" s="8"/>
      <c r="T1161" s="8"/>
      <c r="AC1161" s="8"/>
    </row>
    <row r="1162" spans="2:29" ht="15" x14ac:dyDescent="0.2">
      <c r="B1162" s="8"/>
      <c r="K1162" s="8"/>
      <c r="T1162" s="8"/>
      <c r="AC1162" s="8"/>
    </row>
    <row r="1163" spans="2:29" ht="15" x14ac:dyDescent="0.2">
      <c r="B1163" s="8"/>
      <c r="K1163" s="8"/>
      <c r="T1163" s="8"/>
      <c r="AC1163" s="8"/>
    </row>
    <row r="1164" spans="2:29" ht="15" x14ac:dyDescent="0.2">
      <c r="B1164" s="8"/>
      <c r="K1164" s="8"/>
      <c r="T1164" s="8"/>
      <c r="AC1164" s="8"/>
    </row>
    <row r="1165" spans="2:29" ht="15" x14ac:dyDescent="0.2">
      <c r="B1165" s="8"/>
      <c r="K1165" s="8"/>
      <c r="T1165" s="8"/>
      <c r="AC1165" s="8"/>
    </row>
    <row r="1166" spans="2:29" ht="15" x14ac:dyDescent="0.2">
      <c r="B1166" s="8"/>
      <c r="K1166" s="8"/>
      <c r="T1166" s="8"/>
      <c r="AC1166" s="8"/>
    </row>
    <row r="1167" spans="2:29" ht="15" x14ac:dyDescent="0.2">
      <c r="B1167" s="8"/>
      <c r="K1167" s="8"/>
      <c r="T1167" s="8"/>
      <c r="AC1167" s="8"/>
    </row>
    <row r="1168" spans="2:29" ht="15" x14ac:dyDescent="0.2">
      <c r="B1168" s="8"/>
      <c r="K1168" s="8"/>
      <c r="T1168" s="8"/>
      <c r="AC1168" s="8"/>
    </row>
    <row r="1169" spans="2:29" ht="15" x14ac:dyDescent="0.2">
      <c r="B1169" s="8"/>
      <c r="K1169" s="8"/>
      <c r="T1169" s="8"/>
      <c r="AC1169" s="8"/>
    </row>
    <row r="1170" spans="2:29" ht="15" x14ac:dyDescent="0.2">
      <c r="B1170" s="8"/>
      <c r="K1170" s="8"/>
      <c r="T1170" s="8"/>
      <c r="AC1170" s="8"/>
    </row>
    <row r="1171" spans="2:29" ht="15" x14ac:dyDescent="0.2">
      <c r="B1171" s="8"/>
      <c r="K1171" s="8"/>
      <c r="T1171" s="8"/>
      <c r="AC1171" s="8"/>
    </row>
    <row r="1172" spans="2:29" ht="15" x14ac:dyDescent="0.2">
      <c r="B1172" s="8"/>
      <c r="K1172" s="8"/>
      <c r="T1172" s="8"/>
      <c r="AC1172" s="8"/>
    </row>
    <row r="1173" spans="2:29" ht="15" x14ac:dyDescent="0.2">
      <c r="B1173" s="8"/>
      <c r="K1173" s="8"/>
      <c r="T1173" s="8"/>
      <c r="AC1173" s="8"/>
    </row>
    <row r="1174" spans="2:29" ht="15" x14ac:dyDescent="0.2">
      <c r="B1174" s="8"/>
      <c r="K1174" s="8"/>
      <c r="T1174" s="8"/>
      <c r="AC1174" s="8"/>
    </row>
    <row r="1175" spans="2:29" ht="15" x14ac:dyDescent="0.2">
      <c r="B1175" s="8"/>
      <c r="K1175" s="8"/>
      <c r="T1175" s="8"/>
      <c r="AC1175" s="8"/>
    </row>
    <row r="1176" spans="2:29" ht="15" x14ac:dyDescent="0.2">
      <c r="B1176" s="8"/>
      <c r="K1176" s="8"/>
      <c r="T1176" s="8"/>
      <c r="AC1176" s="8"/>
    </row>
    <row r="1177" spans="2:29" ht="15" x14ac:dyDescent="0.2">
      <c r="B1177" s="8"/>
      <c r="K1177" s="8"/>
      <c r="T1177" s="8"/>
      <c r="AC1177" s="8"/>
    </row>
    <row r="1178" spans="2:29" ht="15" x14ac:dyDescent="0.2">
      <c r="B1178" s="8"/>
      <c r="K1178" s="8"/>
      <c r="T1178" s="8"/>
      <c r="AC1178" s="8"/>
    </row>
    <row r="1179" spans="2:29" ht="15" x14ac:dyDescent="0.2">
      <c r="B1179" s="8"/>
      <c r="K1179" s="8"/>
      <c r="T1179" s="8"/>
      <c r="AC1179" s="8"/>
    </row>
    <row r="1180" spans="2:29" ht="15" x14ac:dyDescent="0.2">
      <c r="B1180" s="8"/>
      <c r="K1180" s="8"/>
      <c r="T1180" s="8"/>
      <c r="AC1180" s="8"/>
    </row>
    <row r="1181" spans="2:29" ht="15" x14ac:dyDescent="0.2">
      <c r="B1181" s="8"/>
      <c r="K1181" s="8"/>
      <c r="T1181" s="8"/>
      <c r="AC1181" s="8"/>
    </row>
    <row r="1182" spans="2:29" ht="15" x14ac:dyDescent="0.2">
      <c r="B1182" s="8"/>
      <c r="K1182" s="8"/>
      <c r="T1182" s="8"/>
      <c r="AC1182" s="8"/>
    </row>
    <row r="1183" spans="2:29" ht="15" x14ac:dyDescent="0.2">
      <c r="B1183" s="8"/>
      <c r="K1183" s="8"/>
      <c r="T1183" s="8"/>
      <c r="AC1183" s="8"/>
    </row>
    <row r="1184" spans="2:29" ht="15" x14ac:dyDescent="0.2">
      <c r="B1184" s="8"/>
      <c r="K1184" s="8"/>
      <c r="T1184" s="8"/>
      <c r="AC1184" s="8"/>
    </row>
    <row r="1185" spans="2:29" ht="15" x14ac:dyDescent="0.2">
      <c r="B1185" s="8"/>
      <c r="K1185" s="8"/>
      <c r="T1185" s="8"/>
      <c r="AC1185" s="8"/>
    </row>
    <row r="1186" spans="2:29" ht="15" x14ac:dyDescent="0.2">
      <c r="B1186" s="8"/>
      <c r="K1186" s="8"/>
      <c r="T1186" s="8"/>
      <c r="AC1186" s="8"/>
    </row>
    <row r="1187" spans="2:29" ht="15" x14ac:dyDescent="0.2">
      <c r="B1187" s="8"/>
      <c r="K1187" s="8"/>
      <c r="T1187" s="8"/>
      <c r="AC1187" s="8"/>
    </row>
    <row r="1188" spans="2:29" ht="15" x14ac:dyDescent="0.2">
      <c r="B1188" s="8"/>
      <c r="K1188" s="8"/>
      <c r="T1188" s="8"/>
      <c r="AC1188" s="8"/>
    </row>
    <row r="1189" spans="2:29" ht="15" x14ac:dyDescent="0.2">
      <c r="B1189" s="8"/>
      <c r="K1189" s="8"/>
      <c r="T1189" s="8"/>
      <c r="AC1189" s="8"/>
    </row>
    <row r="1190" spans="2:29" ht="15" x14ac:dyDescent="0.2">
      <c r="B1190" s="8"/>
      <c r="K1190" s="8"/>
      <c r="T1190" s="8"/>
      <c r="AC1190" s="8"/>
    </row>
    <row r="1191" spans="2:29" ht="15" x14ac:dyDescent="0.2">
      <c r="B1191" s="8"/>
      <c r="K1191" s="8"/>
      <c r="T1191" s="8"/>
      <c r="AC1191" s="8"/>
    </row>
    <row r="1192" spans="2:29" ht="15" x14ac:dyDescent="0.2">
      <c r="B1192" s="8"/>
      <c r="K1192" s="8"/>
      <c r="T1192" s="8"/>
      <c r="AC1192" s="8"/>
    </row>
    <row r="1193" spans="2:29" ht="15" x14ac:dyDescent="0.2">
      <c r="B1193" s="8"/>
      <c r="K1193" s="8"/>
      <c r="T1193" s="8"/>
      <c r="AC1193" s="8"/>
    </row>
    <row r="1194" spans="2:29" ht="15" x14ac:dyDescent="0.2">
      <c r="B1194" s="8"/>
      <c r="K1194" s="8"/>
      <c r="T1194" s="8"/>
      <c r="AC1194" s="8"/>
    </row>
    <row r="1195" spans="2:29" ht="15" x14ac:dyDescent="0.2">
      <c r="B1195" s="8"/>
      <c r="K1195" s="8"/>
      <c r="T1195" s="8"/>
      <c r="AC1195" s="8"/>
    </row>
    <row r="1196" spans="2:29" ht="15" x14ac:dyDescent="0.2">
      <c r="B1196" s="8"/>
      <c r="K1196" s="8"/>
      <c r="T1196" s="8"/>
      <c r="AC1196" s="8"/>
    </row>
    <row r="1197" spans="2:29" ht="15" x14ac:dyDescent="0.2">
      <c r="B1197" s="8"/>
      <c r="K1197" s="8"/>
      <c r="T1197" s="8"/>
      <c r="AC1197" s="8"/>
    </row>
    <row r="1198" spans="2:29" ht="15" x14ac:dyDescent="0.2">
      <c r="B1198" s="8"/>
      <c r="K1198" s="8"/>
      <c r="T1198" s="8"/>
      <c r="AC1198" s="8"/>
    </row>
    <row r="1199" spans="2:29" ht="15" x14ac:dyDescent="0.2">
      <c r="B1199" s="8"/>
      <c r="K1199" s="8"/>
      <c r="T1199" s="8"/>
      <c r="AC1199" s="8"/>
    </row>
    <row r="1200" spans="2:29" ht="15" x14ac:dyDescent="0.2">
      <c r="B1200" s="8"/>
      <c r="K1200" s="8"/>
      <c r="T1200" s="8"/>
      <c r="AC1200" s="8"/>
    </row>
    <row r="1201" spans="2:29" ht="15" x14ac:dyDescent="0.2">
      <c r="B1201" s="8"/>
      <c r="K1201" s="8"/>
      <c r="T1201" s="8"/>
      <c r="AC1201" s="8"/>
    </row>
    <row r="1202" spans="2:29" ht="15" x14ac:dyDescent="0.2">
      <c r="B1202" s="8"/>
      <c r="K1202" s="8"/>
      <c r="T1202" s="8"/>
      <c r="AC1202" s="8"/>
    </row>
    <row r="1203" spans="2:29" ht="15" x14ac:dyDescent="0.2">
      <c r="B1203" s="8"/>
      <c r="K1203" s="8"/>
      <c r="T1203" s="8"/>
      <c r="AC1203" s="8"/>
    </row>
    <row r="1204" spans="2:29" ht="15" x14ac:dyDescent="0.2">
      <c r="B1204" s="8"/>
      <c r="K1204" s="8"/>
      <c r="T1204" s="8"/>
      <c r="AC1204" s="8"/>
    </row>
    <row r="1205" spans="2:29" ht="15" x14ac:dyDescent="0.2">
      <c r="B1205" s="8"/>
      <c r="K1205" s="8"/>
      <c r="T1205" s="8"/>
      <c r="AC1205" s="8"/>
    </row>
    <row r="1206" spans="2:29" ht="15" x14ac:dyDescent="0.2">
      <c r="B1206" s="8"/>
      <c r="K1206" s="8"/>
      <c r="T1206" s="8"/>
      <c r="AC1206" s="8"/>
    </row>
    <row r="1207" spans="2:29" ht="15" x14ac:dyDescent="0.2">
      <c r="B1207" s="8"/>
      <c r="K1207" s="8"/>
      <c r="T1207" s="8"/>
      <c r="AC1207" s="8"/>
    </row>
    <row r="1208" spans="2:29" ht="15" x14ac:dyDescent="0.2">
      <c r="B1208" s="8"/>
      <c r="K1208" s="8"/>
      <c r="T1208" s="8"/>
      <c r="AC1208" s="8"/>
    </row>
    <row r="1209" spans="2:29" ht="15" x14ac:dyDescent="0.2">
      <c r="B1209" s="8"/>
      <c r="K1209" s="8"/>
      <c r="T1209" s="8"/>
      <c r="AC1209" s="8"/>
    </row>
    <row r="1210" spans="2:29" ht="15" x14ac:dyDescent="0.2">
      <c r="B1210" s="8"/>
      <c r="K1210" s="8"/>
      <c r="T1210" s="8"/>
      <c r="AC1210" s="8"/>
    </row>
    <row r="1211" spans="2:29" ht="15" x14ac:dyDescent="0.2">
      <c r="B1211" s="8"/>
      <c r="K1211" s="8"/>
      <c r="T1211" s="8"/>
      <c r="AC1211" s="8"/>
    </row>
    <row r="1212" spans="2:29" ht="15" x14ac:dyDescent="0.2">
      <c r="B1212" s="8"/>
      <c r="K1212" s="8"/>
      <c r="T1212" s="8"/>
      <c r="AC1212" s="8"/>
    </row>
    <row r="1213" spans="2:29" ht="15" x14ac:dyDescent="0.2">
      <c r="B1213" s="8"/>
      <c r="K1213" s="8"/>
      <c r="T1213" s="8"/>
      <c r="AC1213" s="8"/>
    </row>
    <row r="1214" spans="2:29" ht="15" x14ac:dyDescent="0.2">
      <c r="B1214" s="8"/>
      <c r="K1214" s="8"/>
      <c r="T1214" s="8"/>
      <c r="AC1214" s="8"/>
    </row>
    <row r="1215" spans="2:29" ht="15" x14ac:dyDescent="0.2">
      <c r="B1215" s="8"/>
      <c r="K1215" s="8"/>
      <c r="T1215" s="8"/>
      <c r="AC1215" s="8"/>
    </row>
    <row r="1216" spans="2:29" ht="15" x14ac:dyDescent="0.2">
      <c r="B1216" s="8"/>
      <c r="K1216" s="8"/>
      <c r="T1216" s="8"/>
      <c r="AC1216" s="8"/>
    </row>
    <row r="1217" spans="2:29" ht="15" x14ac:dyDescent="0.2">
      <c r="B1217" s="8"/>
      <c r="K1217" s="8"/>
      <c r="T1217" s="8"/>
      <c r="AC1217" s="8"/>
    </row>
    <row r="1218" spans="2:29" ht="15" x14ac:dyDescent="0.2">
      <c r="B1218" s="8"/>
      <c r="K1218" s="8"/>
      <c r="T1218" s="8"/>
      <c r="AC1218" s="8"/>
    </row>
    <row r="1219" spans="2:29" ht="15" x14ac:dyDescent="0.2">
      <c r="B1219" s="8"/>
      <c r="K1219" s="8"/>
      <c r="T1219" s="8"/>
      <c r="AC1219" s="8"/>
    </row>
    <row r="1220" spans="2:29" ht="15" x14ac:dyDescent="0.2">
      <c r="B1220" s="8"/>
      <c r="K1220" s="8"/>
      <c r="T1220" s="8"/>
      <c r="AC1220" s="8"/>
    </row>
    <row r="1221" spans="2:29" ht="15" x14ac:dyDescent="0.2">
      <c r="B1221" s="8"/>
      <c r="K1221" s="8"/>
      <c r="T1221" s="8"/>
      <c r="AC1221" s="8"/>
    </row>
    <row r="1222" spans="2:29" ht="15" x14ac:dyDescent="0.2">
      <c r="B1222" s="8"/>
      <c r="K1222" s="8"/>
      <c r="T1222" s="8"/>
      <c r="AC1222" s="8"/>
    </row>
    <row r="1223" spans="2:29" ht="15" x14ac:dyDescent="0.2">
      <c r="B1223" s="8"/>
      <c r="K1223" s="8"/>
      <c r="T1223" s="8"/>
      <c r="AC1223" s="8"/>
    </row>
    <row r="1224" spans="2:29" ht="15" x14ac:dyDescent="0.2">
      <c r="B1224" s="8"/>
      <c r="K1224" s="8"/>
      <c r="T1224" s="8"/>
      <c r="AC1224" s="8"/>
    </row>
    <row r="1225" spans="2:29" ht="15" x14ac:dyDescent="0.2">
      <c r="B1225" s="8"/>
      <c r="K1225" s="8"/>
      <c r="T1225" s="8"/>
      <c r="AC1225" s="8"/>
    </row>
    <row r="1226" spans="2:29" ht="15" x14ac:dyDescent="0.2">
      <c r="B1226" s="8"/>
      <c r="K1226" s="8"/>
      <c r="T1226" s="8"/>
      <c r="AC1226" s="8"/>
    </row>
    <row r="1227" spans="2:29" ht="15" x14ac:dyDescent="0.2">
      <c r="B1227" s="8"/>
      <c r="K1227" s="8"/>
      <c r="T1227" s="8"/>
      <c r="AC1227" s="8"/>
    </row>
    <row r="1228" spans="2:29" ht="15" x14ac:dyDescent="0.2">
      <c r="B1228" s="8"/>
      <c r="K1228" s="8"/>
      <c r="T1228" s="8"/>
      <c r="AC1228" s="8"/>
    </row>
    <row r="1229" spans="2:29" ht="15" x14ac:dyDescent="0.2">
      <c r="B1229" s="8"/>
      <c r="K1229" s="8"/>
      <c r="T1229" s="8"/>
      <c r="AC1229" s="8"/>
    </row>
    <row r="1230" spans="2:29" ht="15" x14ac:dyDescent="0.2">
      <c r="B1230" s="8"/>
      <c r="K1230" s="8"/>
      <c r="T1230" s="8"/>
      <c r="AC1230" s="8"/>
    </row>
    <row r="1231" spans="2:29" ht="15" x14ac:dyDescent="0.2">
      <c r="B1231" s="8"/>
      <c r="K1231" s="8"/>
      <c r="T1231" s="8"/>
      <c r="AC1231" s="8"/>
    </row>
    <row r="1232" spans="2:29" ht="15" x14ac:dyDescent="0.2">
      <c r="B1232" s="8"/>
      <c r="K1232" s="8"/>
      <c r="T1232" s="8"/>
      <c r="AC1232" s="8"/>
    </row>
    <row r="1233" spans="2:29" ht="15" x14ac:dyDescent="0.2">
      <c r="B1233" s="8"/>
      <c r="K1233" s="8"/>
      <c r="T1233" s="8"/>
      <c r="AC1233" s="8"/>
    </row>
    <row r="1234" spans="2:29" ht="15" x14ac:dyDescent="0.2">
      <c r="B1234" s="8"/>
      <c r="K1234" s="8"/>
      <c r="T1234" s="8"/>
      <c r="AC1234" s="8"/>
    </row>
    <row r="1235" spans="2:29" ht="15" x14ac:dyDescent="0.2">
      <c r="B1235" s="8"/>
      <c r="K1235" s="8"/>
      <c r="T1235" s="8"/>
      <c r="AC1235" s="8"/>
    </row>
    <row r="1236" spans="2:29" ht="15" x14ac:dyDescent="0.2">
      <c r="B1236" s="8"/>
      <c r="K1236" s="8"/>
      <c r="T1236" s="8"/>
      <c r="AC1236" s="8"/>
    </row>
    <row r="1237" spans="2:29" ht="15" x14ac:dyDescent="0.2">
      <c r="B1237" s="8"/>
      <c r="K1237" s="8"/>
      <c r="T1237" s="8"/>
      <c r="AC1237" s="8"/>
    </row>
    <row r="1238" spans="2:29" ht="15" x14ac:dyDescent="0.2">
      <c r="B1238" s="8"/>
      <c r="K1238" s="8"/>
      <c r="T1238" s="8"/>
      <c r="AC1238" s="8"/>
    </row>
    <row r="1239" spans="2:29" ht="15" x14ac:dyDescent="0.2">
      <c r="B1239" s="8"/>
      <c r="K1239" s="8"/>
      <c r="T1239" s="8"/>
      <c r="AC1239" s="8"/>
    </row>
    <row r="1240" spans="2:29" ht="15" x14ac:dyDescent="0.2">
      <c r="B1240" s="8"/>
      <c r="K1240" s="8"/>
      <c r="T1240" s="8"/>
      <c r="AC1240" s="8"/>
    </row>
    <row r="1241" spans="2:29" ht="15" x14ac:dyDescent="0.2">
      <c r="B1241" s="8"/>
      <c r="K1241" s="8"/>
      <c r="T1241" s="8"/>
      <c r="AC1241" s="8"/>
    </row>
    <row r="1242" spans="2:29" ht="15" x14ac:dyDescent="0.2">
      <c r="B1242" s="8"/>
      <c r="K1242" s="8"/>
      <c r="T1242" s="8"/>
      <c r="AC1242" s="8"/>
    </row>
    <row r="1243" spans="2:29" ht="15" x14ac:dyDescent="0.2">
      <c r="B1243" s="8"/>
      <c r="K1243" s="8"/>
      <c r="T1243" s="8"/>
      <c r="AC1243" s="8"/>
    </row>
    <row r="1244" spans="2:29" ht="15" x14ac:dyDescent="0.2">
      <c r="B1244" s="8"/>
      <c r="K1244" s="8"/>
      <c r="T1244" s="8"/>
      <c r="AC1244" s="8"/>
    </row>
    <row r="1245" spans="2:29" ht="15" x14ac:dyDescent="0.2">
      <c r="B1245" s="8"/>
      <c r="K1245" s="8"/>
      <c r="T1245" s="8"/>
      <c r="AC1245" s="8"/>
    </row>
    <row r="1246" spans="2:29" ht="15" x14ac:dyDescent="0.2">
      <c r="B1246" s="8"/>
      <c r="K1246" s="8"/>
      <c r="T1246" s="8"/>
      <c r="AC1246" s="8"/>
    </row>
    <row r="1247" spans="2:29" ht="15" x14ac:dyDescent="0.2">
      <c r="B1247" s="8"/>
      <c r="K1247" s="8"/>
      <c r="T1247" s="8"/>
      <c r="AC1247" s="8"/>
    </row>
    <row r="1248" spans="2:29" ht="15" x14ac:dyDescent="0.2">
      <c r="B1248" s="8"/>
      <c r="K1248" s="8"/>
      <c r="T1248" s="8"/>
      <c r="AC1248" s="8"/>
    </row>
    <row r="1249" spans="2:29" ht="15" x14ac:dyDescent="0.2">
      <c r="B1249" s="8"/>
      <c r="K1249" s="8"/>
      <c r="T1249" s="8"/>
      <c r="AC1249" s="8"/>
    </row>
    <row r="1250" spans="2:29" ht="15" x14ac:dyDescent="0.2">
      <c r="B1250" s="8"/>
      <c r="K1250" s="8"/>
      <c r="T1250" s="8"/>
      <c r="AC1250" s="8"/>
    </row>
    <row r="1251" spans="2:29" ht="15" x14ac:dyDescent="0.2">
      <c r="B1251" s="8"/>
      <c r="K1251" s="8"/>
      <c r="T1251" s="8"/>
      <c r="AC1251" s="8"/>
    </row>
    <row r="1252" spans="2:29" ht="15" x14ac:dyDescent="0.2">
      <c r="B1252" s="8"/>
      <c r="K1252" s="8"/>
      <c r="T1252" s="8"/>
      <c r="AC1252" s="8"/>
    </row>
    <row r="1253" spans="2:29" ht="15" x14ac:dyDescent="0.2">
      <c r="B1253" s="8"/>
      <c r="K1253" s="8"/>
      <c r="T1253" s="8"/>
      <c r="AC1253" s="8"/>
    </row>
    <row r="1254" spans="2:29" ht="15" x14ac:dyDescent="0.2">
      <c r="B1254" s="8"/>
      <c r="K1254" s="8"/>
      <c r="T1254" s="8"/>
      <c r="AC1254" s="8"/>
    </row>
    <row r="1255" spans="2:29" ht="15" x14ac:dyDescent="0.2">
      <c r="B1255" s="8"/>
      <c r="K1255" s="8"/>
      <c r="T1255" s="8"/>
      <c r="AC1255" s="8"/>
    </row>
    <row r="1256" spans="2:29" ht="15" x14ac:dyDescent="0.2">
      <c r="B1256" s="8"/>
      <c r="K1256" s="8"/>
      <c r="T1256" s="8"/>
      <c r="AC1256" s="8"/>
    </row>
    <row r="1257" spans="2:29" ht="15" x14ac:dyDescent="0.2">
      <c r="B1257" s="8"/>
      <c r="K1257" s="8"/>
      <c r="T1257" s="8"/>
      <c r="AC1257" s="8"/>
    </row>
    <row r="1258" spans="2:29" ht="15" x14ac:dyDescent="0.2">
      <c r="B1258" s="8"/>
      <c r="K1258" s="8"/>
      <c r="T1258" s="8"/>
      <c r="AC1258" s="8"/>
    </row>
    <row r="1259" spans="2:29" ht="15" x14ac:dyDescent="0.2">
      <c r="B1259" s="8"/>
      <c r="K1259" s="8"/>
      <c r="T1259" s="8"/>
      <c r="AC1259" s="8"/>
    </row>
    <row r="1260" spans="2:29" ht="15" x14ac:dyDescent="0.2">
      <c r="B1260" s="8"/>
      <c r="K1260" s="8"/>
      <c r="T1260" s="8"/>
      <c r="AC1260" s="8"/>
    </row>
    <row r="1261" spans="2:29" ht="15" x14ac:dyDescent="0.2">
      <c r="B1261" s="8"/>
      <c r="K1261" s="8"/>
      <c r="T1261" s="8"/>
      <c r="AC1261" s="8"/>
    </row>
    <row r="1262" spans="2:29" ht="15" x14ac:dyDescent="0.2">
      <c r="B1262" s="8"/>
      <c r="K1262" s="8"/>
      <c r="T1262" s="8"/>
      <c r="AC1262" s="8"/>
    </row>
    <row r="1263" spans="2:29" ht="15" x14ac:dyDescent="0.2">
      <c r="B1263" s="8"/>
      <c r="K1263" s="8"/>
      <c r="T1263" s="8"/>
      <c r="AC1263" s="8"/>
    </row>
    <row r="1264" spans="2:29" ht="15" x14ac:dyDescent="0.2">
      <c r="B1264" s="8"/>
      <c r="K1264" s="8"/>
      <c r="T1264" s="8"/>
      <c r="AC1264" s="8"/>
    </row>
    <row r="1265" spans="2:29" ht="15" x14ac:dyDescent="0.2">
      <c r="B1265" s="8"/>
      <c r="K1265" s="8"/>
      <c r="T1265" s="8"/>
      <c r="AC1265" s="8"/>
    </row>
    <row r="1266" spans="2:29" ht="15" x14ac:dyDescent="0.2">
      <c r="B1266" s="8"/>
      <c r="K1266" s="8"/>
      <c r="T1266" s="8"/>
      <c r="AC1266" s="8"/>
    </row>
    <row r="1267" spans="2:29" ht="15" x14ac:dyDescent="0.2">
      <c r="B1267" s="8"/>
      <c r="K1267" s="8"/>
      <c r="T1267" s="8"/>
      <c r="AC1267" s="8"/>
    </row>
    <row r="1268" spans="2:29" ht="15" x14ac:dyDescent="0.2">
      <c r="B1268" s="8"/>
      <c r="K1268" s="8"/>
      <c r="T1268" s="8"/>
      <c r="AC1268" s="8"/>
    </row>
    <row r="1269" spans="2:29" ht="15" x14ac:dyDescent="0.2">
      <c r="B1269" s="8"/>
      <c r="K1269" s="8"/>
      <c r="T1269" s="8"/>
      <c r="AC1269" s="8"/>
    </row>
    <row r="1270" spans="2:29" ht="15" x14ac:dyDescent="0.2">
      <c r="B1270" s="8"/>
      <c r="K1270" s="8"/>
      <c r="T1270" s="8"/>
      <c r="AC1270" s="8"/>
    </row>
    <row r="1271" spans="2:29" ht="15" x14ac:dyDescent="0.2">
      <c r="B1271" s="8"/>
      <c r="K1271" s="8"/>
      <c r="T1271" s="8"/>
      <c r="AC1271" s="8"/>
    </row>
    <row r="1272" spans="2:29" ht="15" x14ac:dyDescent="0.2">
      <c r="B1272" s="8"/>
      <c r="K1272" s="8"/>
      <c r="T1272" s="8"/>
      <c r="AC1272" s="8"/>
    </row>
    <row r="1273" spans="2:29" ht="15" x14ac:dyDescent="0.2">
      <c r="B1273" s="8"/>
      <c r="K1273" s="8"/>
      <c r="T1273" s="8"/>
      <c r="AC1273" s="8"/>
    </row>
    <row r="1274" spans="2:29" ht="15" x14ac:dyDescent="0.2">
      <c r="B1274" s="8"/>
      <c r="K1274" s="8"/>
      <c r="T1274" s="8"/>
      <c r="AC1274" s="8"/>
    </row>
    <row r="1275" spans="2:29" ht="15" x14ac:dyDescent="0.2">
      <c r="B1275" s="8"/>
      <c r="K1275" s="8"/>
      <c r="T1275" s="8"/>
      <c r="AC1275" s="8"/>
    </row>
    <row r="1276" spans="2:29" ht="15" x14ac:dyDescent="0.2">
      <c r="B1276" s="8"/>
      <c r="K1276" s="8"/>
      <c r="T1276" s="8"/>
      <c r="AC1276" s="8"/>
    </row>
    <row r="1277" spans="2:29" ht="15" x14ac:dyDescent="0.2">
      <c r="B1277" s="8"/>
      <c r="K1277" s="8"/>
      <c r="T1277" s="8"/>
      <c r="AC1277" s="8"/>
    </row>
    <row r="1278" spans="2:29" ht="15" x14ac:dyDescent="0.2">
      <c r="B1278" s="8"/>
      <c r="K1278" s="8"/>
      <c r="T1278" s="8"/>
      <c r="AC1278" s="8"/>
    </row>
    <row r="1279" spans="2:29" ht="15" x14ac:dyDescent="0.2">
      <c r="B1279" s="8"/>
      <c r="K1279" s="8"/>
      <c r="T1279" s="8"/>
      <c r="AC1279" s="8"/>
    </row>
    <row r="1280" spans="2:29" ht="15" x14ac:dyDescent="0.2">
      <c r="B1280" s="8"/>
      <c r="K1280" s="8"/>
      <c r="T1280" s="8"/>
      <c r="AC1280" s="8"/>
    </row>
    <row r="1281" spans="2:29" ht="15" x14ac:dyDescent="0.2">
      <c r="B1281" s="8"/>
      <c r="K1281" s="8"/>
      <c r="T1281" s="8"/>
      <c r="AC1281" s="8"/>
    </row>
    <row r="1282" spans="2:29" ht="15" x14ac:dyDescent="0.2">
      <c r="B1282" s="8"/>
      <c r="K1282" s="8"/>
      <c r="T1282" s="8"/>
      <c r="AC1282" s="8"/>
    </row>
    <row r="1283" spans="2:29" ht="15" x14ac:dyDescent="0.2">
      <c r="B1283" s="8"/>
      <c r="K1283" s="8"/>
      <c r="T1283" s="8"/>
      <c r="AC1283" s="8"/>
    </row>
    <row r="1284" spans="2:29" ht="15" x14ac:dyDescent="0.2">
      <c r="B1284" s="8"/>
      <c r="K1284" s="8"/>
      <c r="T1284" s="8"/>
      <c r="AC1284" s="8"/>
    </row>
    <row r="1285" spans="2:29" ht="15" x14ac:dyDescent="0.2">
      <c r="B1285" s="8"/>
      <c r="K1285" s="8"/>
      <c r="T1285" s="8"/>
      <c r="AC1285" s="8"/>
    </row>
    <row r="1286" spans="2:29" ht="15" x14ac:dyDescent="0.2">
      <c r="B1286" s="8"/>
      <c r="K1286" s="8"/>
      <c r="T1286" s="8"/>
      <c r="AC1286" s="8"/>
    </row>
    <row r="1287" spans="2:29" ht="15" x14ac:dyDescent="0.2">
      <c r="B1287" s="8"/>
      <c r="K1287" s="8"/>
      <c r="T1287" s="8"/>
      <c r="AC1287" s="8"/>
    </row>
    <row r="1288" spans="2:29" ht="15" x14ac:dyDescent="0.2">
      <c r="B1288" s="8"/>
      <c r="K1288" s="8"/>
      <c r="T1288" s="8"/>
      <c r="AC1288" s="8"/>
    </row>
    <row r="1289" spans="2:29" ht="15" x14ac:dyDescent="0.2">
      <c r="B1289" s="8"/>
      <c r="K1289" s="8"/>
      <c r="T1289" s="8"/>
      <c r="AC1289" s="8"/>
    </row>
    <row r="1290" spans="2:29" ht="15" x14ac:dyDescent="0.2">
      <c r="B1290" s="8"/>
      <c r="K1290" s="8"/>
      <c r="T1290" s="8"/>
      <c r="AC1290" s="8"/>
    </row>
    <row r="1291" spans="2:29" ht="15" x14ac:dyDescent="0.2">
      <c r="B1291" s="8"/>
      <c r="K1291" s="8"/>
      <c r="T1291" s="8"/>
      <c r="AC1291" s="8"/>
    </row>
    <row r="1292" spans="2:29" ht="15" x14ac:dyDescent="0.2">
      <c r="B1292" s="8"/>
      <c r="K1292" s="8"/>
      <c r="T1292" s="8"/>
      <c r="AC1292" s="8"/>
    </row>
    <row r="1293" spans="2:29" ht="15" x14ac:dyDescent="0.2">
      <c r="B1293" s="8"/>
      <c r="K1293" s="8"/>
      <c r="T1293" s="8"/>
      <c r="AC1293" s="8"/>
    </row>
    <row r="1294" spans="2:29" ht="15" x14ac:dyDescent="0.2">
      <c r="B1294" s="8"/>
      <c r="K1294" s="8"/>
      <c r="T1294" s="8"/>
      <c r="AC1294" s="8"/>
    </row>
    <row r="1295" spans="2:29" ht="15" x14ac:dyDescent="0.2">
      <c r="B1295" s="8"/>
      <c r="K1295" s="8"/>
      <c r="T1295" s="8"/>
      <c r="AC1295" s="8"/>
    </row>
    <row r="1296" spans="2:29" ht="15" x14ac:dyDescent="0.2">
      <c r="B1296" s="8"/>
      <c r="K1296" s="8"/>
      <c r="T1296" s="8"/>
      <c r="AC1296" s="8"/>
    </row>
    <row r="1297" spans="2:29" ht="15" x14ac:dyDescent="0.2">
      <c r="B1297" s="8"/>
      <c r="K1297" s="8"/>
      <c r="T1297" s="8"/>
      <c r="AC1297" s="8"/>
    </row>
    <row r="1298" spans="2:29" ht="15" x14ac:dyDescent="0.2">
      <c r="B1298" s="8"/>
      <c r="K1298" s="8"/>
      <c r="T1298" s="8"/>
      <c r="AC1298" s="8"/>
    </row>
    <row r="1299" spans="2:29" ht="15" x14ac:dyDescent="0.2">
      <c r="B1299" s="8"/>
      <c r="K1299" s="8"/>
      <c r="T1299" s="8"/>
      <c r="AC1299" s="8"/>
    </row>
    <row r="1300" spans="2:29" ht="15" x14ac:dyDescent="0.2">
      <c r="B1300" s="8"/>
      <c r="K1300" s="8"/>
      <c r="T1300" s="8"/>
      <c r="AC1300" s="8"/>
    </row>
    <row r="1301" spans="2:29" ht="15" x14ac:dyDescent="0.2">
      <c r="B1301" s="8"/>
      <c r="K1301" s="8"/>
      <c r="T1301" s="8"/>
      <c r="AC1301" s="8"/>
    </row>
    <row r="1302" spans="2:29" ht="15" x14ac:dyDescent="0.2">
      <c r="B1302" s="8"/>
      <c r="K1302" s="8"/>
      <c r="T1302" s="8"/>
      <c r="AC1302" s="8"/>
    </row>
    <row r="1303" spans="2:29" ht="15" x14ac:dyDescent="0.2">
      <c r="B1303" s="8"/>
      <c r="K1303" s="8"/>
      <c r="T1303" s="8"/>
      <c r="AC1303" s="8"/>
    </row>
    <row r="1304" spans="2:29" ht="15" x14ac:dyDescent="0.2">
      <c r="B1304" s="8"/>
      <c r="K1304" s="8"/>
      <c r="T1304" s="8"/>
      <c r="AC1304" s="8"/>
    </row>
    <row r="1305" spans="2:29" ht="15" x14ac:dyDescent="0.2">
      <c r="B1305" s="8"/>
      <c r="K1305" s="8"/>
      <c r="T1305" s="8"/>
      <c r="AC1305" s="8"/>
    </row>
    <row r="1306" spans="2:29" ht="15" x14ac:dyDescent="0.2">
      <c r="B1306" s="8"/>
      <c r="K1306" s="8"/>
      <c r="T1306" s="8"/>
      <c r="AC1306" s="8"/>
    </row>
    <row r="1307" spans="2:29" ht="15" x14ac:dyDescent="0.2">
      <c r="B1307" s="8"/>
      <c r="K1307" s="8"/>
      <c r="T1307" s="8"/>
      <c r="AC1307" s="8"/>
    </row>
    <row r="1308" spans="2:29" ht="15" x14ac:dyDescent="0.2">
      <c r="B1308" s="8"/>
      <c r="K1308" s="8"/>
      <c r="T1308" s="8"/>
      <c r="AC1308" s="8"/>
    </row>
    <row r="1309" spans="2:29" ht="15" x14ac:dyDescent="0.2">
      <c r="B1309" s="8"/>
      <c r="K1309" s="8"/>
      <c r="T1309" s="8"/>
      <c r="AC1309" s="8"/>
    </row>
    <row r="1310" spans="2:29" ht="15" x14ac:dyDescent="0.2">
      <c r="B1310" s="8"/>
      <c r="K1310" s="8"/>
      <c r="T1310" s="8"/>
      <c r="AC1310" s="8"/>
    </row>
    <row r="1311" spans="2:29" ht="15" x14ac:dyDescent="0.2">
      <c r="B1311" s="8"/>
      <c r="K1311" s="8"/>
      <c r="T1311" s="8"/>
      <c r="AC1311" s="8"/>
    </row>
    <row r="1312" spans="2:29" ht="15" x14ac:dyDescent="0.2">
      <c r="B1312" s="8"/>
      <c r="K1312" s="8"/>
      <c r="T1312" s="8"/>
      <c r="AC1312" s="8"/>
    </row>
    <row r="1313" spans="2:29" ht="15" x14ac:dyDescent="0.2">
      <c r="B1313" s="8"/>
      <c r="K1313" s="8"/>
      <c r="T1313" s="8"/>
      <c r="AC1313" s="8"/>
    </row>
    <row r="1314" spans="2:29" ht="15" x14ac:dyDescent="0.2">
      <c r="B1314" s="8"/>
      <c r="K1314" s="8"/>
      <c r="T1314" s="8"/>
      <c r="AC1314" s="8"/>
    </row>
    <row r="1315" spans="2:29" ht="15" x14ac:dyDescent="0.2">
      <c r="B1315" s="8"/>
      <c r="K1315" s="8"/>
      <c r="T1315" s="8"/>
      <c r="AC1315" s="8"/>
    </row>
    <row r="1316" spans="2:29" ht="15" x14ac:dyDescent="0.2">
      <c r="B1316" s="8"/>
      <c r="K1316" s="8"/>
      <c r="T1316" s="8"/>
      <c r="AC1316" s="8"/>
    </row>
    <row r="1317" spans="2:29" ht="15" x14ac:dyDescent="0.2">
      <c r="B1317" s="8"/>
      <c r="K1317" s="8"/>
      <c r="T1317" s="8"/>
      <c r="AC1317" s="8"/>
    </row>
    <row r="1318" spans="2:29" ht="15" x14ac:dyDescent="0.2">
      <c r="B1318" s="8"/>
      <c r="K1318" s="8"/>
      <c r="T1318" s="8"/>
      <c r="AC1318" s="8"/>
    </row>
    <row r="1319" spans="2:29" ht="15" x14ac:dyDescent="0.2">
      <c r="B1319" s="8"/>
      <c r="K1319" s="8"/>
      <c r="T1319" s="8"/>
      <c r="AC1319" s="8"/>
    </row>
    <row r="1320" spans="2:29" ht="15" x14ac:dyDescent="0.2">
      <c r="B1320" s="8"/>
      <c r="K1320" s="8"/>
      <c r="T1320" s="8"/>
      <c r="AC1320" s="8"/>
    </row>
    <row r="1321" spans="2:29" ht="15" x14ac:dyDescent="0.2">
      <c r="B1321" s="8"/>
      <c r="K1321" s="8"/>
      <c r="T1321" s="8"/>
      <c r="AC1321" s="8"/>
    </row>
    <row r="1322" spans="2:29" ht="15" x14ac:dyDescent="0.2">
      <c r="B1322" s="8"/>
      <c r="K1322" s="8"/>
      <c r="T1322" s="8"/>
      <c r="AC1322" s="8"/>
    </row>
    <row r="1323" spans="2:29" ht="15" x14ac:dyDescent="0.2">
      <c r="B1323" s="8"/>
      <c r="K1323" s="8"/>
      <c r="T1323" s="8"/>
      <c r="AC1323" s="8"/>
    </row>
    <row r="1324" spans="2:29" ht="15" x14ac:dyDescent="0.2">
      <c r="B1324" s="8"/>
      <c r="K1324" s="8"/>
      <c r="T1324" s="8"/>
      <c r="AC1324" s="8"/>
    </row>
    <row r="1325" spans="2:29" ht="15" x14ac:dyDescent="0.2">
      <c r="B1325" s="8"/>
      <c r="K1325" s="8"/>
      <c r="T1325" s="8"/>
      <c r="AC1325" s="8"/>
    </row>
    <row r="1326" spans="2:29" ht="15" x14ac:dyDescent="0.2">
      <c r="B1326" s="8"/>
      <c r="K1326" s="8"/>
      <c r="T1326" s="8"/>
      <c r="AC1326" s="8"/>
    </row>
    <row r="1327" spans="2:29" ht="15" x14ac:dyDescent="0.2">
      <c r="B1327" s="8"/>
      <c r="K1327" s="8"/>
      <c r="T1327" s="8"/>
      <c r="AC1327" s="8"/>
    </row>
    <row r="1328" spans="2:29" ht="15" x14ac:dyDescent="0.2">
      <c r="B1328" s="8"/>
      <c r="K1328" s="8"/>
      <c r="T1328" s="8"/>
      <c r="AC1328" s="8"/>
    </row>
    <row r="1329" spans="2:29" ht="15" x14ac:dyDescent="0.2">
      <c r="B1329" s="8"/>
      <c r="K1329" s="8"/>
      <c r="T1329" s="8"/>
      <c r="AC1329" s="8"/>
    </row>
    <row r="1330" spans="2:29" ht="15" x14ac:dyDescent="0.2">
      <c r="B1330" s="8"/>
      <c r="K1330" s="8"/>
      <c r="T1330" s="8"/>
      <c r="AC1330" s="8"/>
    </row>
    <row r="1331" spans="2:29" ht="15" x14ac:dyDescent="0.2">
      <c r="B1331" s="8"/>
      <c r="K1331" s="8"/>
      <c r="T1331" s="8"/>
      <c r="AC1331" s="8"/>
    </row>
    <row r="1332" spans="2:29" ht="15" x14ac:dyDescent="0.2">
      <c r="B1332" s="8"/>
      <c r="K1332" s="8"/>
      <c r="T1332" s="8"/>
      <c r="AC1332" s="8"/>
    </row>
    <row r="1333" spans="2:29" ht="15" x14ac:dyDescent="0.2">
      <c r="B1333" s="8"/>
      <c r="K1333" s="8"/>
      <c r="T1333" s="8"/>
      <c r="AC1333" s="8"/>
    </row>
    <row r="1334" spans="2:29" ht="15" x14ac:dyDescent="0.2">
      <c r="B1334" s="8"/>
      <c r="K1334" s="8"/>
      <c r="T1334" s="8"/>
      <c r="AC1334" s="8"/>
    </row>
    <row r="1335" spans="2:29" ht="15" x14ac:dyDescent="0.2">
      <c r="B1335" s="8"/>
      <c r="K1335" s="8"/>
      <c r="T1335" s="8"/>
      <c r="AC1335" s="8"/>
    </row>
    <row r="1336" spans="2:29" ht="15" x14ac:dyDescent="0.2">
      <c r="B1336" s="8"/>
      <c r="K1336" s="8"/>
      <c r="T1336" s="8"/>
      <c r="AC1336" s="8"/>
    </row>
    <row r="1337" spans="2:29" ht="15" x14ac:dyDescent="0.2">
      <c r="B1337" s="8"/>
      <c r="K1337" s="8"/>
      <c r="T1337" s="8"/>
      <c r="AC1337" s="8"/>
    </row>
    <row r="1338" spans="2:29" ht="15" x14ac:dyDescent="0.2">
      <c r="B1338" s="8"/>
      <c r="K1338" s="8"/>
      <c r="T1338" s="8"/>
      <c r="AC1338" s="8"/>
    </row>
    <row r="1339" spans="2:29" ht="15" x14ac:dyDescent="0.2">
      <c r="B1339" s="8"/>
      <c r="K1339" s="8"/>
      <c r="T1339" s="8"/>
      <c r="AC1339" s="8"/>
    </row>
    <row r="1340" spans="2:29" ht="15" x14ac:dyDescent="0.2">
      <c r="B1340" s="8"/>
      <c r="K1340" s="8"/>
      <c r="T1340" s="8"/>
      <c r="AC1340" s="8"/>
    </row>
    <row r="1341" spans="2:29" ht="15" x14ac:dyDescent="0.2">
      <c r="B1341" s="8"/>
      <c r="K1341" s="8"/>
      <c r="T1341" s="8"/>
      <c r="AC1341" s="8"/>
    </row>
    <row r="1342" spans="2:29" ht="15" x14ac:dyDescent="0.2">
      <c r="B1342" s="8"/>
      <c r="K1342" s="8"/>
      <c r="T1342" s="8"/>
      <c r="AC1342" s="8"/>
    </row>
    <row r="1343" spans="2:29" ht="15" x14ac:dyDescent="0.2">
      <c r="B1343" s="8"/>
      <c r="K1343" s="8"/>
      <c r="T1343" s="8"/>
      <c r="AC1343" s="8"/>
    </row>
    <row r="1344" spans="2:29" ht="15" x14ac:dyDescent="0.2">
      <c r="B1344" s="8"/>
      <c r="K1344" s="8"/>
      <c r="T1344" s="8"/>
      <c r="AC1344" s="8"/>
    </row>
    <row r="1345" spans="2:29" ht="15" x14ac:dyDescent="0.2">
      <c r="B1345" s="8"/>
      <c r="K1345" s="8"/>
      <c r="T1345" s="8"/>
      <c r="AC1345" s="8"/>
    </row>
    <row r="1346" spans="2:29" ht="15" x14ac:dyDescent="0.2">
      <c r="B1346" s="8"/>
      <c r="K1346" s="8"/>
      <c r="T1346" s="8"/>
      <c r="AC1346" s="8"/>
    </row>
    <row r="1347" spans="2:29" ht="15" x14ac:dyDescent="0.2">
      <c r="B1347" s="8"/>
      <c r="K1347" s="8"/>
      <c r="T1347" s="8"/>
      <c r="AC1347" s="8"/>
    </row>
    <row r="1348" spans="2:29" ht="15" x14ac:dyDescent="0.2">
      <c r="B1348" s="8"/>
      <c r="K1348" s="8"/>
      <c r="T1348" s="8"/>
      <c r="AC1348" s="8"/>
    </row>
    <row r="1349" spans="2:29" ht="15" x14ac:dyDescent="0.2">
      <c r="B1349" s="8"/>
      <c r="K1349" s="8"/>
      <c r="T1349" s="8"/>
      <c r="AC1349" s="8"/>
    </row>
    <row r="1350" spans="2:29" ht="15" x14ac:dyDescent="0.2">
      <c r="B1350" s="8"/>
      <c r="K1350" s="8"/>
      <c r="T1350" s="8"/>
      <c r="AC1350" s="8"/>
    </row>
    <row r="1351" spans="2:29" ht="15" x14ac:dyDescent="0.2">
      <c r="B1351" s="8"/>
      <c r="K1351" s="8"/>
      <c r="T1351" s="8"/>
      <c r="AC1351" s="8"/>
    </row>
    <row r="1352" spans="2:29" ht="15" x14ac:dyDescent="0.2">
      <c r="B1352" s="8"/>
      <c r="K1352" s="8"/>
      <c r="T1352" s="8"/>
      <c r="AC1352" s="8"/>
    </row>
    <row r="1353" spans="2:29" ht="15" x14ac:dyDescent="0.2">
      <c r="B1353" s="8"/>
      <c r="K1353" s="8"/>
      <c r="T1353" s="8"/>
      <c r="AC1353" s="8"/>
    </row>
    <row r="1354" spans="2:29" ht="15" x14ac:dyDescent="0.2">
      <c r="B1354" s="8"/>
      <c r="K1354" s="8"/>
      <c r="T1354" s="8"/>
      <c r="AC1354" s="8"/>
    </row>
    <row r="1355" spans="2:29" ht="15" x14ac:dyDescent="0.2">
      <c r="B1355" s="8"/>
      <c r="K1355" s="8"/>
      <c r="T1355" s="8"/>
      <c r="AC1355" s="8"/>
    </row>
    <row r="1356" spans="2:29" ht="15" x14ac:dyDescent="0.2">
      <c r="B1356" s="8"/>
      <c r="K1356" s="8"/>
      <c r="T1356" s="8"/>
      <c r="AC1356" s="8"/>
    </row>
    <row r="1357" spans="2:29" ht="15" x14ac:dyDescent="0.2">
      <c r="B1357" s="8"/>
      <c r="K1357" s="8"/>
      <c r="T1357" s="8"/>
      <c r="AC1357" s="8"/>
    </row>
    <row r="1358" spans="2:29" ht="15" x14ac:dyDescent="0.2">
      <c r="B1358" s="8"/>
      <c r="K1358" s="8"/>
      <c r="T1358" s="8"/>
      <c r="AC1358" s="8"/>
    </row>
    <row r="1359" spans="2:29" ht="15" x14ac:dyDescent="0.2">
      <c r="B1359" s="8"/>
      <c r="K1359" s="8"/>
      <c r="T1359" s="8"/>
      <c r="AC1359" s="8"/>
    </row>
    <row r="1360" spans="2:29" ht="15" x14ac:dyDescent="0.2">
      <c r="B1360" s="8"/>
      <c r="K1360" s="8"/>
      <c r="T1360" s="8"/>
      <c r="AC1360" s="8"/>
    </row>
    <row r="1361" spans="2:29" ht="15" x14ac:dyDescent="0.2">
      <c r="B1361" s="8"/>
      <c r="K1361" s="8"/>
      <c r="T1361" s="8"/>
      <c r="AC1361" s="8"/>
    </row>
    <row r="1362" spans="2:29" ht="15" x14ac:dyDescent="0.2">
      <c r="B1362" s="8"/>
      <c r="K1362" s="8"/>
      <c r="T1362" s="8"/>
      <c r="AC1362" s="8"/>
    </row>
    <row r="1363" spans="2:29" ht="15" x14ac:dyDescent="0.2">
      <c r="B1363" s="8"/>
      <c r="K1363" s="8"/>
      <c r="T1363" s="8"/>
      <c r="AC1363" s="8"/>
    </row>
    <row r="1364" spans="2:29" ht="15" x14ac:dyDescent="0.2">
      <c r="B1364" s="8"/>
      <c r="K1364" s="8"/>
      <c r="T1364" s="8"/>
      <c r="AC1364" s="8"/>
    </row>
    <row r="1365" spans="2:29" ht="15" x14ac:dyDescent="0.2">
      <c r="B1365" s="8"/>
      <c r="K1365" s="8"/>
      <c r="T1365" s="8"/>
      <c r="AC1365" s="8"/>
    </row>
    <row r="1366" spans="2:29" ht="15" x14ac:dyDescent="0.2">
      <c r="B1366" s="8"/>
      <c r="K1366" s="8"/>
      <c r="T1366" s="8"/>
      <c r="AC1366" s="8"/>
    </row>
    <row r="1367" spans="2:29" ht="15" x14ac:dyDescent="0.2">
      <c r="B1367" s="8"/>
      <c r="K1367" s="8"/>
      <c r="T1367" s="8"/>
      <c r="AC1367" s="8"/>
    </row>
    <row r="1368" spans="2:29" ht="15" x14ac:dyDescent="0.2">
      <c r="B1368" s="8"/>
      <c r="K1368" s="8"/>
      <c r="T1368" s="8"/>
      <c r="AC1368" s="8"/>
    </row>
    <row r="1369" spans="2:29" ht="15" x14ac:dyDescent="0.2">
      <c r="B1369" s="8"/>
      <c r="K1369" s="8"/>
      <c r="T1369" s="8"/>
      <c r="AC1369" s="8"/>
    </row>
    <row r="1370" spans="2:29" ht="15" x14ac:dyDescent="0.2">
      <c r="B1370" s="8"/>
      <c r="K1370" s="8"/>
      <c r="T1370" s="8"/>
      <c r="AC1370" s="8"/>
    </row>
    <row r="1371" spans="2:29" ht="15" x14ac:dyDescent="0.2">
      <c r="B1371" s="8"/>
      <c r="K1371" s="8"/>
      <c r="T1371" s="8"/>
      <c r="AC1371" s="8"/>
    </row>
    <row r="1372" spans="2:29" ht="15" x14ac:dyDescent="0.2">
      <c r="B1372" s="8"/>
      <c r="K1372" s="8"/>
      <c r="T1372" s="8"/>
      <c r="AC1372" s="8"/>
    </row>
    <row r="1373" spans="2:29" ht="15" x14ac:dyDescent="0.2">
      <c r="B1373" s="8"/>
      <c r="K1373" s="8"/>
      <c r="T1373" s="8"/>
      <c r="AC1373" s="8"/>
    </row>
    <row r="1374" spans="2:29" ht="15" x14ac:dyDescent="0.2">
      <c r="B1374" s="8"/>
      <c r="K1374" s="8"/>
      <c r="T1374" s="8"/>
      <c r="AC1374" s="8"/>
    </row>
    <row r="1375" spans="2:29" ht="15" x14ac:dyDescent="0.2">
      <c r="B1375" s="8"/>
      <c r="K1375" s="8"/>
      <c r="T1375" s="8"/>
      <c r="AC1375" s="8"/>
    </row>
    <row r="1376" spans="2:29" ht="15" x14ac:dyDescent="0.2">
      <c r="B1376" s="8"/>
      <c r="K1376" s="8"/>
      <c r="T1376" s="8"/>
      <c r="AC1376" s="8"/>
    </row>
    <row r="1377" spans="2:29" ht="15" x14ac:dyDescent="0.2">
      <c r="B1377" s="8"/>
      <c r="K1377" s="8"/>
      <c r="T1377" s="8"/>
      <c r="AC1377" s="8"/>
    </row>
    <row r="1378" spans="2:29" ht="15" x14ac:dyDescent="0.2">
      <c r="B1378" s="8"/>
      <c r="K1378" s="8"/>
      <c r="T1378" s="8"/>
      <c r="AC1378" s="8"/>
    </row>
    <row r="1379" spans="2:29" ht="15" x14ac:dyDescent="0.2">
      <c r="B1379" s="8"/>
      <c r="K1379" s="8"/>
      <c r="T1379" s="8"/>
      <c r="AC1379" s="8"/>
    </row>
    <row r="1380" spans="2:29" ht="15" x14ac:dyDescent="0.2">
      <c r="B1380" s="8"/>
      <c r="K1380" s="8"/>
      <c r="T1380" s="8"/>
      <c r="AC1380" s="8"/>
    </row>
    <row r="1381" spans="2:29" ht="15" x14ac:dyDescent="0.2">
      <c r="B1381" s="8"/>
      <c r="K1381" s="8"/>
      <c r="T1381" s="8"/>
      <c r="AC1381" s="8"/>
    </row>
    <row r="1382" spans="2:29" ht="15" x14ac:dyDescent="0.2">
      <c r="B1382" s="8"/>
      <c r="K1382" s="8"/>
      <c r="T1382" s="8"/>
      <c r="AC1382" s="8"/>
    </row>
    <row r="1383" spans="2:29" ht="15" x14ac:dyDescent="0.2">
      <c r="B1383" s="8"/>
      <c r="K1383" s="8"/>
      <c r="T1383" s="8"/>
      <c r="AC1383" s="8"/>
    </row>
    <row r="1384" spans="2:29" ht="15" x14ac:dyDescent="0.2">
      <c r="B1384" s="8"/>
      <c r="K1384" s="8"/>
      <c r="T1384" s="8"/>
      <c r="AC1384" s="8"/>
    </row>
    <row r="1385" spans="2:29" ht="15" x14ac:dyDescent="0.2">
      <c r="B1385" s="8"/>
      <c r="K1385" s="8"/>
      <c r="T1385" s="8"/>
      <c r="AC1385" s="8"/>
    </row>
    <row r="1386" spans="2:29" ht="15" x14ac:dyDescent="0.2">
      <c r="B1386" s="8"/>
      <c r="K1386" s="8"/>
      <c r="T1386" s="8"/>
      <c r="AC1386" s="8"/>
    </row>
    <row r="1387" spans="2:29" ht="15" x14ac:dyDescent="0.2">
      <c r="B1387" s="8"/>
      <c r="K1387" s="8"/>
      <c r="T1387" s="8"/>
      <c r="AC1387" s="8"/>
    </row>
    <row r="1388" spans="2:29" ht="15" x14ac:dyDescent="0.2">
      <c r="B1388" s="8"/>
      <c r="K1388" s="8"/>
      <c r="T1388" s="8"/>
      <c r="AC1388" s="8"/>
    </row>
    <row r="1389" spans="2:29" ht="15" x14ac:dyDescent="0.2">
      <c r="B1389" s="8"/>
      <c r="K1389" s="8"/>
      <c r="T1389" s="8"/>
      <c r="AC1389" s="8"/>
    </row>
    <row r="1390" spans="2:29" ht="15" x14ac:dyDescent="0.2">
      <c r="B1390" s="8"/>
      <c r="K1390" s="8"/>
      <c r="T1390" s="8"/>
      <c r="AC1390" s="8"/>
    </row>
    <row r="1391" spans="2:29" ht="15" x14ac:dyDescent="0.2">
      <c r="B1391" s="8"/>
      <c r="K1391" s="8"/>
      <c r="T1391" s="8"/>
      <c r="AC1391" s="8"/>
    </row>
    <row r="1392" spans="2:29" ht="15" x14ac:dyDescent="0.2">
      <c r="B1392" s="8"/>
      <c r="K1392" s="8"/>
      <c r="T1392" s="8"/>
      <c r="AC1392" s="8"/>
    </row>
    <row r="1393" spans="2:29" ht="15" x14ac:dyDescent="0.2">
      <c r="B1393" s="8"/>
      <c r="K1393" s="8"/>
      <c r="T1393" s="8"/>
      <c r="AC1393" s="8"/>
    </row>
    <row r="1394" spans="2:29" ht="15" x14ac:dyDescent="0.2">
      <c r="B1394" s="8"/>
      <c r="K1394" s="8"/>
      <c r="T1394" s="8"/>
      <c r="AC1394" s="8"/>
    </row>
    <row r="1395" spans="2:29" ht="15" x14ac:dyDescent="0.2">
      <c r="B1395" s="8"/>
      <c r="K1395" s="8"/>
      <c r="T1395" s="8"/>
      <c r="AC1395" s="8"/>
    </row>
    <row r="1396" spans="2:29" ht="15" x14ac:dyDescent="0.2">
      <c r="B1396" s="8"/>
      <c r="K1396" s="8"/>
      <c r="T1396" s="8"/>
      <c r="AC1396" s="8"/>
    </row>
    <row r="1397" spans="2:29" ht="15" x14ac:dyDescent="0.2">
      <c r="B1397" s="8"/>
      <c r="K1397" s="8"/>
      <c r="T1397" s="8"/>
      <c r="AC1397" s="8"/>
    </row>
    <row r="1398" spans="2:29" ht="15" x14ac:dyDescent="0.2">
      <c r="B1398" s="8"/>
      <c r="K1398" s="8"/>
      <c r="T1398" s="8"/>
      <c r="AC1398" s="8"/>
    </row>
    <row r="1399" spans="2:29" ht="15" x14ac:dyDescent="0.2">
      <c r="B1399" s="8"/>
      <c r="K1399" s="8"/>
      <c r="T1399" s="8"/>
      <c r="AC1399" s="8"/>
    </row>
    <row r="1400" spans="2:29" ht="15" x14ac:dyDescent="0.2">
      <c r="B1400" s="8"/>
      <c r="K1400" s="8"/>
      <c r="T1400" s="8"/>
      <c r="AC1400" s="8"/>
    </row>
    <row r="1401" spans="2:29" ht="15" x14ac:dyDescent="0.2">
      <c r="B1401" s="8"/>
      <c r="K1401" s="8"/>
      <c r="T1401" s="8"/>
      <c r="AC1401" s="8"/>
    </row>
    <row r="1402" spans="2:29" ht="15" x14ac:dyDescent="0.2">
      <c r="B1402" s="8"/>
      <c r="K1402" s="8"/>
      <c r="T1402" s="8"/>
      <c r="AC1402" s="8"/>
    </row>
    <row r="1403" spans="2:29" ht="15" x14ac:dyDescent="0.2">
      <c r="B1403" s="8"/>
      <c r="K1403" s="8"/>
      <c r="T1403" s="8"/>
      <c r="AC1403" s="8"/>
    </row>
    <row r="1404" spans="2:29" ht="15" x14ac:dyDescent="0.2">
      <c r="B1404" s="8"/>
      <c r="K1404" s="8"/>
      <c r="T1404" s="8"/>
      <c r="AC1404" s="8"/>
    </row>
    <row r="1405" spans="2:29" ht="15" x14ac:dyDescent="0.2">
      <c r="B1405" s="8"/>
      <c r="K1405" s="8"/>
      <c r="T1405" s="8"/>
      <c r="AC1405" s="8"/>
    </row>
    <row r="1406" spans="2:29" ht="15" x14ac:dyDescent="0.2">
      <c r="B1406" s="8"/>
      <c r="K1406" s="8"/>
      <c r="T1406" s="8"/>
      <c r="AC1406" s="8"/>
    </row>
    <row r="1407" spans="2:29" ht="15" x14ac:dyDescent="0.2">
      <c r="B1407" s="8"/>
      <c r="K1407" s="8"/>
      <c r="T1407" s="8"/>
      <c r="AC1407" s="8"/>
    </row>
    <row r="1408" spans="2:29" ht="15" x14ac:dyDescent="0.2">
      <c r="B1408" s="8"/>
      <c r="K1408" s="8"/>
      <c r="T1408" s="8"/>
      <c r="AC1408" s="8"/>
    </row>
    <row r="1409" spans="2:29" ht="15" x14ac:dyDescent="0.2">
      <c r="B1409" s="8"/>
      <c r="K1409" s="8"/>
      <c r="T1409" s="8"/>
      <c r="AC1409" s="8"/>
    </row>
    <row r="1410" spans="2:29" ht="15" x14ac:dyDescent="0.2">
      <c r="B1410" s="8"/>
      <c r="K1410" s="8"/>
      <c r="T1410" s="8"/>
      <c r="AC1410" s="8"/>
    </row>
    <row r="1411" spans="2:29" ht="15" x14ac:dyDescent="0.2">
      <c r="B1411" s="8"/>
      <c r="K1411" s="8"/>
      <c r="T1411" s="8"/>
      <c r="AC1411" s="8"/>
    </row>
    <row r="1412" spans="2:29" ht="15" x14ac:dyDescent="0.2">
      <c r="B1412" s="8"/>
      <c r="K1412" s="8"/>
      <c r="T1412" s="8"/>
      <c r="AC1412" s="8"/>
    </row>
    <row r="1413" spans="2:29" ht="15" x14ac:dyDescent="0.2">
      <c r="B1413" s="8"/>
      <c r="K1413" s="8"/>
      <c r="T1413" s="8"/>
      <c r="AC1413" s="8"/>
    </row>
    <row r="1414" spans="2:29" ht="15" x14ac:dyDescent="0.2">
      <c r="B1414" s="8"/>
      <c r="K1414" s="8"/>
      <c r="T1414" s="8"/>
      <c r="AC1414" s="8"/>
    </row>
    <row r="1415" spans="2:29" ht="15" x14ac:dyDescent="0.2">
      <c r="B1415" s="8"/>
      <c r="K1415" s="8"/>
      <c r="T1415" s="8"/>
      <c r="AC1415" s="8"/>
    </row>
    <row r="1416" spans="2:29" ht="15" x14ac:dyDescent="0.2">
      <c r="B1416" s="8"/>
      <c r="K1416" s="8"/>
      <c r="T1416" s="8"/>
      <c r="AC1416" s="8"/>
    </row>
    <row r="1417" spans="2:29" ht="15" x14ac:dyDescent="0.2">
      <c r="B1417" s="8"/>
      <c r="K1417" s="8"/>
      <c r="T1417" s="8"/>
      <c r="AC1417" s="8"/>
    </row>
    <row r="1418" spans="2:29" ht="15" x14ac:dyDescent="0.2">
      <c r="B1418" s="8"/>
      <c r="K1418" s="8"/>
      <c r="T1418" s="8"/>
      <c r="AC1418" s="8"/>
    </row>
    <row r="1419" spans="2:29" ht="15" x14ac:dyDescent="0.2">
      <c r="B1419" s="8"/>
      <c r="K1419" s="8"/>
      <c r="T1419" s="8"/>
      <c r="AC1419" s="8"/>
    </row>
    <row r="1420" spans="2:29" ht="15" x14ac:dyDescent="0.2">
      <c r="B1420" s="8"/>
      <c r="K1420" s="8"/>
      <c r="T1420" s="8"/>
      <c r="AC1420" s="8"/>
    </row>
    <row r="1421" spans="2:29" ht="15" x14ac:dyDescent="0.2">
      <c r="B1421" s="8"/>
      <c r="K1421" s="8"/>
      <c r="T1421" s="8"/>
      <c r="AC1421" s="8"/>
    </row>
    <row r="1422" spans="2:29" ht="15" x14ac:dyDescent="0.2">
      <c r="B1422" s="8"/>
      <c r="K1422" s="8"/>
      <c r="T1422" s="8"/>
      <c r="AC1422" s="8"/>
    </row>
    <row r="1423" spans="2:29" ht="15" x14ac:dyDescent="0.2">
      <c r="B1423" s="8"/>
      <c r="K1423" s="8"/>
      <c r="T1423" s="8"/>
      <c r="AC1423" s="8"/>
    </row>
    <row r="1424" spans="2:29" ht="15" x14ac:dyDescent="0.2">
      <c r="B1424" s="8"/>
      <c r="K1424" s="8"/>
      <c r="T1424" s="8"/>
      <c r="AC1424" s="8"/>
    </row>
    <row r="1425" spans="2:29" ht="15" x14ac:dyDescent="0.2">
      <c r="B1425" s="8"/>
      <c r="K1425" s="8"/>
      <c r="T1425" s="8"/>
      <c r="AC1425" s="8"/>
    </row>
    <row r="1426" spans="2:29" ht="15" x14ac:dyDescent="0.2">
      <c r="B1426" s="8"/>
      <c r="K1426" s="8"/>
      <c r="T1426" s="8"/>
      <c r="AC1426" s="8"/>
    </row>
    <row r="1427" spans="2:29" ht="15" x14ac:dyDescent="0.2">
      <c r="B1427" s="8"/>
      <c r="K1427" s="8"/>
      <c r="T1427" s="8"/>
      <c r="AC1427" s="8"/>
    </row>
    <row r="1428" spans="2:29" ht="15" x14ac:dyDescent="0.2">
      <c r="B1428" s="8"/>
      <c r="K1428" s="8"/>
      <c r="T1428" s="8"/>
      <c r="AC1428" s="8"/>
    </row>
    <row r="1429" spans="2:29" ht="15" x14ac:dyDescent="0.2">
      <c r="B1429" s="8"/>
      <c r="K1429" s="8"/>
      <c r="T1429" s="8"/>
      <c r="AC1429" s="8"/>
    </row>
    <row r="1430" spans="2:29" ht="15" x14ac:dyDescent="0.2">
      <c r="B1430" s="8"/>
      <c r="K1430" s="8"/>
      <c r="T1430" s="8"/>
      <c r="AC1430" s="8"/>
    </row>
    <row r="1431" spans="2:29" ht="15" x14ac:dyDescent="0.2">
      <c r="B1431" s="8"/>
      <c r="K1431" s="8"/>
      <c r="T1431" s="8"/>
      <c r="AC1431" s="8"/>
    </row>
    <row r="1432" spans="2:29" ht="15" x14ac:dyDescent="0.2">
      <c r="B1432" s="8"/>
      <c r="K1432" s="8"/>
      <c r="T1432" s="8"/>
      <c r="AC1432" s="8"/>
    </row>
    <row r="1433" spans="2:29" ht="15" x14ac:dyDescent="0.2">
      <c r="B1433" s="8"/>
      <c r="K1433" s="8"/>
      <c r="T1433" s="8"/>
      <c r="AC1433" s="8"/>
    </row>
    <row r="1434" spans="2:29" ht="15" x14ac:dyDescent="0.2">
      <c r="B1434" s="8"/>
      <c r="K1434" s="8"/>
      <c r="T1434" s="8"/>
      <c r="AC1434" s="8"/>
    </row>
    <row r="1435" spans="2:29" ht="15" x14ac:dyDescent="0.2">
      <c r="B1435" s="8"/>
      <c r="K1435" s="8"/>
      <c r="T1435" s="8"/>
      <c r="AC1435" s="8"/>
    </row>
    <row r="1436" spans="2:29" ht="15" x14ac:dyDescent="0.2">
      <c r="B1436" s="8"/>
      <c r="K1436" s="8"/>
      <c r="T1436" s="8"/>
      <c r="AC1436" s="8"/>
    </row>
    <row r="1437" spans="2:29" ht="15" x14ac:dyDescent="0.2">
      <c r="B1437" s="8"/>
      <c r="K1437" s="8"/>
      <c r="T1437" s="8"/>
      <c r="AC1437" s="8"/>
    </row>
    <row r="1438" spans="2:29" ht="15" x14ac:dyDescent="0.2">
      <c r="B1438" s="8"/>
      <c r="K1438" s="8"/>
      <c r="T1438" s="8"/>
      <c r="AC1438" s="8"/>
    </row>
    <row r="1439" spans="2:29" ht="15" x14ac:dyDescent="0.2">
      <c r="B1439" s="8"/>
      <c r="K1439" s="8"/>
      <c r="T1439" s="8"/>
      <c r="AC1439" s="8"/>
    </row>
    <row r="1440" spans="2:29" ht="15" x14ac:dyDescent="0.2">
      <c r="B1440" s="8"/>
      <c r="K1440" s="8"/>
      <c r="T1440" s="8"/>
      <c r="AC1440" s="8"/>
    </row>
    <row r="1441" spans="2:29" ht="15" x14ac:dyDescent="0.2">
      <c r="B1441" s="8"/>
      <c r="K1441" s="8"/>
      <c r="T1441" s="8"/>
      <c r="AC1441" s="8"/>
    </row>
    <row r="1442" spans="2:29" ht="15" x14ac:dyDescent="0.2">
      <c r="B1442" s="8"/>
      <c r="K1442" s="8"/>
      <c r="T1442" s="8"/>
      <c r="AC1442" s="8"/>
    </row>
    <row r="1443" spans="2:29" ht="15" x14ac:dyDescent="0.2">
      <c r="B1443" s="8"/>
      <c r="K1443" s="8"/>
      <c r="T1443" s="8"/>
      <c r="AC1443" s="8"/>
    </row>
    <row r="1444" spans="2:29" ht="15" x14ac:dyDescent="0.2">
      <c r="B1444" s="8"/>
      <c r="K1444" s="8"/>
      <c r="T1444" s="8"/>
      <c r="AC1444" s="8"/>
    </row>
    <row r="1445" spans="2:29" ht="15" x14ac:dyDescent="0.2">
      <c r="B1445" s="8"/>
      <c r="K1445" s="8"/>
      <c r="T1445" s="8"/>
      <c r="AC1445" s="8"/>
    </row>
    <row r="1446" spans="2:29" ht="15" x14ac:dyDescent="0.2">
      <c r="B1446" s="8"/>
      <c r="K1446" s="8"/>
      <c r="T1446" s="8"/>
      <c r="AC1446" s="8"/>
    </row>
    <row r="1447" spans="2:29" ht="15" x14ac:dyDescent="0.2">
      <c r="B1447" s="8"/>
      <c r="K1447" s="8"/>
      <c r="T1447" s="8"/>
      <c r="AC1447" s="8"/>
    </row>
    <row r="1448" spans="2:29" ht="15" x14ac:dyDescent="0.2">
      <c r="B1448" s="8"/>
      <c r="K1448" s="8"/>
      <c r="T1448" s="8"/>
      <c r="AC1448" s="8"/>
    </row>
    <row r="1449" spans="2:29" ht="15" x14ac:dyDescent="0.2">
      <c r="B1449" s="8"/>
      <c r="K1449" s="8"/>
      <c r="T1449" s="8"/>
      <c r="AC1449" s="8"/>
    </row>
    <row r="1450" spans="2:29" ht="15" x14ac:dyDescent="0.2">
      <c r="B1450" s="8"/>
      <c r="K1450" s="8"/>
      <c r="T1450" s="8"/>
      <c r="AC1450" s="8"/>
    </row>
    <row r="1451" spans="2:29" ht="15" x14ac:dyDescent="0.2">
      <c r="B1451" s="8"/>
      <c r="K1451" s="8"/>
      <c r="T1451" s="8"/>
      <c r="AC1451" s="8"/>
    </row>
    <row r="1452" spans="2:29" ht="15" x14ac:dyDescent="0.2">
      <c r="B1452" s="8"/>
      <c r="K1452" s="8"/>
      <c r="T1452" s="8"/>
      <c r="AC1452" s="8"/>
    </row>
    <row r="1453" spans="2:29" ht="15" x14ac:dyDescent="0.2">
      <c r="B1453" s="8"/>
      <c r="K1453" s="8"/>
      <c r="T1453" s="8"/>
      <c r="AC1453" s="8"/>
    </row>
    <row r="1454" spans="2:29" ht="15" x14ac:dyDescent="0.2">
      <c r="B1454" s="8"/>
      <c r="K1454" s="8"/>
      <c r="T1454" s="8"/>
      <c r="AC1454" s="8"/>
    </row>
    <row r="1455" spans="2:29" ht="15" x14ac:dyDescent="0.2">
      <c r="B1455" s="8"/>
      <c r="K1455" s="8"/>
      <c r="T1455" s="8"/>
      <c r="AC1455" s="8"/>
    </row>
    <row r="1456" spans="2:29" ht="15" x14ac:dyDescent="0.2">
      <c r="B1456" s="8"/>
      <c r="K1456" s="8"/>
      <c r="T1456" s="8"/>
      <c r="AC1456" s="8"/>
    </row>
    <row r="1457" spans="2:29" ht="15" x14ac:dyDescent="0.2">
      <c r="B1457" s="8"/>
      <c r="K1457" s="8"/>
      <c r="T1457" s="8"/>
      <c r="AC1457" s="8"/>
    </row>
    <row r="1458" spans="2:29" ht="15" x14ac:dyDescent="0.2">
      <c r="B1458" s="8"/>
      <c r="K1458" s="8"/>
      <c r="T1458" s="8"/>
      <c r="AC1458" s="8"/>
    </row>
    <row r="1459" spans="2:29" ht="15" x14ac:dyDescent="0.2">
      <c r="B1459" s="8"/>
      <c r="K1459" s="8"/>
      <c r="T1459" s="8"/>
      <c r="AC1459" s="8"/>
    </row>
    <row r="1460" spans="2:29" ht="15" x14ac:dyDescent="0.2">
      <c r="B1460" s="8"/>
      <c r="K1460" s="8"/>
      <c r="T1460" s="8"/>
      <c r="AC1460" s="8"/>
    </row>
    <row r="1461" spans="2:29" ht="15" x14ac:dyDescent="0.2">
      <c r="B1461" s="8"/>
      <c r="K1461" s="8"/>
      <c r="T1461" s="8"/>
      <c r="AC1461" s="8"/>
    </row>
    <row r="1462" spans="2:29" ht="15" x14ac:dyDescent="0.2">
      <c r="B1462" s="8"/>
      <c r="K1462" s="8"/>
      <c r="T1462" s="8"/>
      <c r="AC1462" s="8"/>
    </row>
    <row r="1463" spans="2:29" ht="15" x14ac:dyDescent="0.2">
      <c r="B1463" s="8"/>
      <c r="K1463" s="8"/>
      <c r="T1463" s="8"/>
      <c r="AC1463" s="8"/>
    </row>
    <row r="1464" spans="2:29" ht="15" x14ac:dyDescent="0.2">
      <c r="B1464" s="8"/>
      <c r="K1464" s="8"/>
      <c r="T1464" s="8"/>
      <c r="AC1464" s="8"/>
    </row>
    <row r="1465" spans="2:29" ht="15" x14ac:dyDescent="0.2">
      <c r="B1465" s="8"/>
      <c r="K1465" s="8"/>
      <c r="T1465" s="8"/>
      <c r="AC1465" s="8"/>
    </row>
    <row r="1466" spans="2:29" ht="15" x14ac:dyDescent="0.2">
      <c r="B1466" s="8"/>
      <c r="K1466" s="8"/>
      <c r="T1466" s="8"/>
      <c r="AC1466" s="8"/>
    </row>
    <row r="1467" spans="2:29" ht="15" x14ac:dyDescent="0.2">
      <c r="B1467" s="8"/>
      <c r="K1467" s="8"/>
      <c r="T1467" s="8"/>
      <c r="AC1467" s="8"/>
    </row>
    <row r="1468" spans="2:29" ht="15" x14ac:dyDescent="0.2">
      <c r="B1468" s="8"/>
      <c r="K1468" s="8"/>
      <c r="T1468" s="8"/>
      <c r="AC1468" s="8"/>
    </row>
    <row r="1469" spans="2:29" ht="15" x14ac:dyDescent="0.2">
      <c r="B1469" s="8"/>
      <c r="K1469" s="8"/>
      <c r="T1469" s="8"/>
      <c r="AC1469" s="8"/>
    </row>
    <row r="1470" spans="2:29" ht="15" x14ac:dyDescent="0.2">
      <c r="B1470" s="8"/>
      <c r="K1470" s="8"/>
      <c r="T1470" s="8"/>
      <c r="AC1470" s="8"/>
    </row>
    <row r="1471" spans="2:29" ht="15" x14ac:dyDescent="0.2">
      <c r="B1471" s="8"/>
      <c r="K1471" s="8"/>
      <c r="T1471" s="8"/>
      <c r="AC1471" s="8"/>
    </row>
    <row r="1472" spans="2:29" ht="15" x14ac:dyDescent="0.2">
      <c r="B1472" s="8"/>
      <c r="K1472" s="8"/>
      <c r="T1472" s="8"/>
      <c r="AC1472" s="8"/>
    </row>
    <row r="1473" spans="2:29" ht="15" x14ac:dyDescent="0.2">
      <c r="B1473" s="8"/>
      <c r="K1473" s="8"/>
      <c r="T1473" s="8"/>
      <c r="AC1473" s="8"/>
    </row>
    <row r="1474" spans="2:29" ht="15" x14ac:dyDescent="0.2">
      <c r="B1474" s="8"/>
      <c r="K1474" s="8"/>
      <c r="T1474" s="8"/>
      <c r="AC1474" s="8"/>
    </row>
    <row r="1475" spans="2:29" ht="15" x14ac:dyDescent="0.2">
      <c r="B1475" s="8"/>
      <c r="K1475" s="8"/>
      <c r="T1475" s="8"/>
      <c r="AC1475" s="8"/>
    </row>
    <row r="1476" spans="2:29" ht="15" x14ac:dyDescent="0.2">
      <c r="B1476" s="8"/>
      <c r="K1476" s="8"/>
      <c r="T1476" s="8"/>
      <c r="AC1476" s="8"/>
    </row>
    <row r="1477" spans="2:29" ht="15" x14ac:dyDescent="0.2">
      <c r="B1477" s="8"/>
      <c r="K1477" s="8"/>
      <c r="T1477" s="8"/>
      <c r="AC1477" s="8"/>
    </row>
    <row r="1478" spans="2:29" ht="15" x14ac:dyDescent="0.2">
      <c r="B1478" s="8"/>
      <c r="K1478" s="8"/>
      <c r="T1478" s="8"/>
      <c r="AC1478" s="8"/>
    </row>
    <row r="1479" spans="2:29" ht="15" x14ac:dyDescent="0.2">
      <c r="B1479" s="8"/>
      <c r="K1479" s="8"/>
      <c r="T1479" s="8"/>
      <c r="AC1479" s="8"/>
    </row>
    <row r="1480" spans="2:29" ht="15" x14ac:dyDescent="0.2">
      <c r="B1480" s="8"/>
      <c r="K1480" s="8"/>
      <c r="T1480" s="8"/>
      <c r="AC1480" s="8"/>
    </row>
    <row r="1481" spans="2:29" ht="15" x14ac:dyDescent="0.2">
      <c r="B1481" s="8"/>
      <c r="K1481" s="8"/>
      <c r="T1481" s="8"/>
      <c r="AC1481" s="8"/>
    </row>
    <row r="1482" spans="2:29" ht="15" x14ac:dyDescent="0.2">
      <c r="B1482" s="8"/>
      <c r="K1482" s="8"/>
      <c r="T1482" s="8"/>
      <c r="AC1482" s="8"/>
    </row>
    <row r="1483" spans="2:29" ht="15" x14ac:dyDescent="0.2">
      <c r="B1483" s="8"/>
      <c r="K1483" s="8"/>
      <c r="T1483" s="8"/>
      <c r="AC1483" s="8"/>
    </row>
    <row r="1484" spans="2:29" ht="15" x14ac:dyDescent="0.2">
      <c r="B1484" s="8"/>
      <c r="K1484" s="8"/>
      <c r="T1484" s="8"/>
      <c r="AC1484" s="8"/>
    </row>
    <row r="1485" spans="2:29" ht="15" x14ac:dyDescent="0.2">
      <c r="B1485" s="8"/>
      <c r="K1485" s="8"/>
      <c r="T1485" s="8"/>
      <c r="AC1485" s="8"/>
    </row>
    <row r="1486" spans="2:29" ht="15" x14ac:dyDescent="0.2">
      <c r="B1486" s="8"/>
      <c r="K1486" s="8"/>
      <c r="T1486" s="8"/>
      <c r="AC1486" s="8"/>
    </row>
    <row r="1487" spans="2:29" ht="15" x14ac:dyDescent="0.2">
      <c r="B1487" s="8"/>
      <c r="K1487" s="8"/>
      <c r="T1487" s="8"/>
      <c r="AC1487" s="8"/>
    </row>
    <row r="1488" spans="2:29" ht="15" x14ac:dyDescent="0.2">
      <c r="B1488" s="8"/>
      <c r="K1488" s="8"/>
      <c r="T1488" s="8"/>
      <c r="AC1488" s="8"/>
    </row>
    <row r="1489" spans="2:29" ht="15" x14ac:dyDescent="0.2">
      <c r="B1489" s="8"/>
      <c r="K1489" s="8"/>
      <c r="T1489" s="8"/>
      <c r="AC1489" s="8"/>
    </row>
    <row r="1490" spans="2:29" ht="15" x14ac:dyDescent="0.2">
      <c r="B1490" s="8"/>
      <c r="K1490" s="8"/>
      <c r="T1490" s="8"/>
      <c r="AC1490" s="8"/>
    </row>
    <row r="1491" spans="2:29" ht="15" x14ac:dyDescent="0.2">
      <c r="B1491" s="8"/>
      <c r="K1491" s="8"/>
      <c r="T1491" s="8"/>
      <c r="AC1491" s="8"/>
    </row>
    <row r="1492" spans="2:29" ht="15" x14ac:dyDescent="0.2">
      <c r="B1492" s="8"/>
      <c r="K1492" s="8"/>
      <c r="T1492" s="8"/>
      <c r="AC1492" s="8"/>
    </row>
    <row r="1493" spans="2:29" ht="15" x14ac:dyDescent="0.2">
      <c r="B1493" s="8"/>
      <c r="K1493" s="8"/>
      <c r="T1493" s="8"/>
      <c r="AC1493" s="8"/>
    </row>
    <row r="1494" spans="2:29" ht="15" x14ac:dyDescent="0.2">
      <c r="B1494" s="8"/>
      <c r="K1494" s="8"/>
      <c r="T1494" s="8"/>
      <c r="AC1494" s="8"/>
    </row>
    <row r="1495" spans="2:29" ht="15" x14ac:dyDescent="0.2">
      <c r="B1495" s="8"/>
      <c r="K1495" s="8"/>
      <c r="T1495" s="8"/>
      <c r="AC1495" s="8"/>
    </row>
    <row r="1496" spans="2:29" ht="15" x14ac:dyDescent="0.2">
      <c r="B1496" s="8"/>
      <c r="K1496" s="8"/>
      <c r="T1496" s="8"/>
      <c r="AC1496" s="8"/>
    </row>
    <row r="1497" spans="2:29" ht="15" x14ac:dyDescent="0.2">
      <c r="B1497" s="8"/>
      <c r="K1497" s="8"/>
      <c r="T1497" s="8"/>
      <c r="AC1497" s="8"/>
    </row>
    <row r="1498" spans="2:29" ht="15" x14ac:dyDescent="0.2">
      <c r="B1498" s="8"/>
      <c r="K1498" s="8"/>
      <c r="T1498" s="8"/>
      <c r="AC1498" s="8"/>
    </row>
    <row r="1499" spans="2:29" ht="15" x14ac:dyDescent="0.2">
      <c r="B1499" s="8"/>
      <c r="K1499" s="8"/>
      <c r="T1499" s="8"/>
      <c r="AC1499" s="8"/>
    </row>
    <row r="1500" spans="2:29" ht="15" x14ac:dyDescent="0.2">
      <c r="B1500" s="8"/>
      <c r="K1500" s="8"/>
      <c r="T1500" s="8"/>
      <c r="AC1500" s="8"/>
    </row>
    <row r="1501" spans="2:29" ht="15" x14ac:dyDescent="0.2">
      <c r="B1501" s="8"/>
      <c r="K1501" s="8"/>
      <c r="T1501" s="8"/>
      <c r="AC1501" s="8"/>
    </row>
    <row r="1502" spans="2:29" ht="15" x14ac:dyDescent="0.2">
      <c r="B1502" s="8"/>
      <c r="K1502" s="8"/>
      <c r="T1502" s="8"/>
      <c r="AC1502" s="8"/>
    </row>
    <row r="1503" spans="2:29" ht="15" x14ac:dyDescent="0.2">
      <c r="B1503" s="8"/>
      <c r="K1503" s="8"/>
      <c r="T1503" s="8"/>
      <c r="AC1503" s="8"/>
    </row>
    <row r="1504" spans="2:29" ht="15" x14ac:dyDescent="0.2">
      <c r="B1504" s="8"/>
      <c r="K1504" s="8"/>
      <c r="T1504" s="8"/>
      <c r="AC1504" s="8"/>
    </row>
    <row r="1505" spans="2:29" ht="15" x14ac:dyDescent="0.2">
      <c r="B1505" s="8"/>
      <c r="K1505" s="8"/>
      <c r="T1505" s="8"/>
      <c r="AC1505" s="8"/>
    </row>
    <row r="1506" spans="2:29" ht="15" x14ac:dyDescent="0.2">
      <c r="B1506" s="8"/>
      <c r="K1506" s="8"/>
      <c r="T1506" s="8"/>
      <c r="AC1506" s="8"/>
    </row>
    <row r="1507" spans="2:29" ht="15" x14ac:dyDescent="0.2">
      <c r="B1507" s="8"/>
      <c r="K1507" s="8"/>
      <c r="T1507" s="8"/>
      <c r="AC1507" s="8"/>
    </row>
    <row r="1508" spans="2:29" ht="15" x14ac:dyDescent="0.2">
      <c r="B1508" s="8"/>
      <c r="K1508" s="8"/>
      <c r="T1508" s="8"/>
      <c r="AC1508" s="8"/>
    </row>
    <row r="1509" spans="2:29" ht="15" x14ac:dyDescent="0.2">
      <c r="B1509" s="8"/>
      <c r="K1509" s="8"/>
      <c r="T1509" s="8"/>
      <c r="AC1509" s="8"/>
    </row>
    <row r="1510" spans="2:29" ht="15" x14ac:dyDescent="0.2">
      <c r="B1510" s="8"/>
      <c r="K1510" s="8"/>
      <c r="T1510" s="8"/>
      <c r="AC1510" s="8"/>
    </row>
    <row r="1511" spans="2:29" ht="15" x14ac:dyDescent="0.2">
      <c r="B1511" s="8"/>
      <c r="K1511" s="8"/>
      <c r="T1511" s="8"/>
      <c r="AC1511" s="8"/>
    </row>
    <row r="1512" spans="2:29" ht="15" x14ac:dyDescent="0.2">
      <c r="B1512" s="8"/>
      <c r="K1512" s="8"/>
      <c r="T1512" s="8"/>
      <c r="AC1512" s="8"/>
    </row>
    <row r="1513" spans="2:29" ht="15" x14ac:dyDescent="0.2">
      <c r="B1513" s="8"/>
      <c r="K1513" s="8"/>
      <c r="T1513" s="8"/>
      <c r="AC1513" s="8"/>
    </row>
    <row r="1514" spans="2:29" ht="15" x14ac:dyDescent="0.2">
      <c r="B1514" s="8"/>
      <c r="K1514" s="8"/>
      <c r="T1514" s="8"/>
      <c r="AC1514" s="8"/>
    </row>
    <row r="1515" spans="2:29" ht="15" x14ac:dyDescent="0.2">
      <c r="B1515" s="8"/>
      <c r="K1515" s="8"/>
      <c r="T1515" s="8"/>
      <c r="AC1515" s="8"/>
    </row>
    <row r="1516" spans="2:29" ht="15" x14ac:dyDescent="0.2">
      <c r="B1516" s="8"/>
      <c r="K1516" s="8"/>
      <c r="T1516" s="8"/>
      <c r="AC1516" s="8"/>
    </row>
    <row r="1517" spans="2:29" ht="15" x14ac:dyDescent="0.2">
      <c r="B1517" s="8"/>
      <c r="K1517" s="8"/>
      <c r="T1517" s="8"/>
      <c r="AC1517" s="8"/>
    </row>
    <row r="1518" spans="2:29" ht="15" x14ac:dyDescent="0.2">
      <c r="B1518" s="8"/>
      <c r="K1518" s="8"/>
      <c r="T1518" s="8"/>
      <c r="AC1518" s="8"/>
    </row>
    <row r="1519" spans="2:29" ht="15" x14ac:dyDescent="0.2">
      <c r="B1519" s="8"/>
      <c r="K1519" s="8"/>
      <c r="T1519" s="8"/>
      <c r="AC1519" s="8"/>
    </row>
    <row r="1520" spans="2:29" ht="15" x14ac:dyDescent="0.2">
      <c r="B1520" s="8"/>
      <c r="K1520" s="8"/>
      <c r="T1520" s="8"/>
      <c r="AC1520" s="8"/>
    </row>
    <row r="1521" spans="2:29" ht="15" x14ac:dyDescent="0.2">
      <c r="B1521" s="8"/>
      <c r="K1521" s="8"/>
      <c r="T1521" s="8"/>
      <c r="AC1521" s="8"/>
    </row>
    <row r="1522" spans="2:29" ht="15" x14ac:dyDescent="0.2">
      <c r="B1522" s="8"/>
      <c r="K1522" s="8"/>
      <c r="T1522" s="8"/>
      <c r="AC1522" s="8"/>
    </row>
    <row r="1523" spans="2:29" ht="15" x14ac:dyDescent="0.2">
      <c r="B1523" s="8"/>
      <c r="K1523" s="8"/>
      <c r="T1523" s="8"/>
      <c r="AC1523" s="8"/>
    </row>
    <row r="1524" spans="2:29" ht="15" x14ac:dyDescent="0.2">
      <c r="B1524" s="8"/>
      <c r="K1524" s="8"/>
      <c r="T1524" s="8"/>
      <c r="AC1524" s="8"/>
    </row>
    <row r="1525" spans="2:29" ht="15" x14ac:dyDescent="0.2">
      <c r="B1525" s="8"/>
      <c r="K1525" s="8"/>
      <c r="T1525" s="8"/>
      <c r="AC1525" s="8"/>
    </row>
    <row r="1526" spans="2:29" ht="15" x14ac:dyDescent="0.2">
      <c r="B1526" s="8"/>
      <c r="K1526" s="8"/>
      <c r="T1526" s="8"/>
      <c r="AC1526" s="8"/>
    </row>
    <row r="1527" spans="2:29" ht="15" x14ac:dyDescent="0.2">
      <c r="B1527" s="8"/>
      <c r="K1527" s="8"/>
      <c r="T1527" s="8"/>
      <c r="AC1527" s="8"/>
    </row>
    <row r="1528" spans="2:29" ht="15" x14ac:dyDescent="0.2">
      <c r="B1528" s="8"/>
      <c r="K1528" s="8"/>
      <c r="T1528" s="8"/>
      <c r="AC1528" s="8"/>
    </row>
    <row r="1529" spans="2:29" ht="15" x14ac:dyDescent="0.2">
      <c r="B1529" s="8"/>
      <c r="K1529" s="8"/>
      <c r="T1529" s="8"/>
      <c r="AC1529" s="8"/>
    </row>
    <row r="1530" spans="2:29" ht="15" x14ac:dyDescent="0.2">
      <c r="B1530" s="8"/>
      <c r="K1530" s="8"/>
      <c r="T1530" s="8"/>
      <c r="AC1530" s="8"/>
    </row>
    <row r="1531" spans="2:29" ht="15" x14ac:dyDescent="0.2">
      <c r="B1531" s="8"/>
      <c r="K1531" s="8"/>
      <c r="T1531" s="8"/>
      <c r="AC1531" s="8"/>
    </row>
    <row r="1532" spans="2:29" ht="15" x14ac:dyDescent="0.2">
      <c r="B1532" s="8"/>
      <c r="K1532" s="8"/>
      <c r="T1532" s="8"/>
      <c r="AC1532" s="8"/>
    </row>
    <row r="1533" spans="2:29" ht="15" x14ac:dyDescent="0.2">
      <c r="B1533" s="8"/>
      <c r="K1533" s="8"/>
      <c r="T1533" s="8"/>
      <c r="AC1533" s="8"/>
    </row>
    <row r="1534" spans="2:29" ht="15" x14ac:dyDescent="0.2">
      <c r="B1534" s="8"/>
      <c r="K1534" s="8"/>
      <c r="T1534" s="8"/>
      <c r="AC1534" s="8"/>
    </row>
    <row r="1535" spans="2:29" ht="15" x14ac:dyDescent="0.2">
      <c r="B1535" s="8"/>
      <c r="K1535" s="8"/>
      <c r="T1535" s="8"/>
      <c r="AC1535" s="8"/>
    </row>
    <row r="1536" spans="2:29" ht="15" x14ac:dyDescent="0.2">
      <c r="B1536" s="8"/>
      <c r="K1536" s="8"/>
      <c r="T1536" s="8"/>
      <c r="AC1536" s="8"/>
    </row>
    <row r="1537" spans="2:29" ht="15" x14ac:dyDescent="0.2">
      <c r="B1537" s="8"/>
      <c r="K1537" s="8"/>
      <c r="T1537" s="8"/>
      <c r="AC1537" s="8"/>
    </row>
    <row r="1538" spans="2:29" ht="15" x14ac:dyDescent="0.2">
      <c r="B1538" s="8"/>
      <c r="K1538" s="8"/>
      <c r="T1538" s="8"/>
      <c r="AC1538" s="8"/>
    </row>
    <row r="1539" spans="2:29" ht="15" x14ac:dyDescent="0.2">
      <c r="B1539" s="8"/>
      <c r="K1539" s="8"/>
      <c r="T1539" s="8"/>
      <c r="AC1539" s="8"/>
    </row>
    <row r="1540" spans="2:29" ht="15" x14ac:dyDescent="0.2">
      <c r="B1540" s="8"/>
      <c r="K1540" s="8"/>
      <c r="T1540" s="8"/>
      <c r="AC1540" s="8"/>
    </row>
    <row r="1541" spans="2:29" ht="15" x14ac:dyDescent="0.2">
      <c r="B1541" s="8"/>
      <c r="K1541" s="8"/>
      <c r="T1541" s="8"/>
      <c r="AC1541" s="8"/>
    </row>
    <row r="1542" spans="2:29" ht="15" x14ac:dyDescent="0.2">
      <c r="B1542" s="8"/>
      <c r="K1542" s="8"/>
      <c r="T1542" s="8"/>
      <c r="AC1542" s="8"/>
    </row>
    <row r="1543" spans="2:29" ht="15" x14ac:dyDescent="0.2">
      <c r="B1543" s="8"/>
      <c r="K1543" s="8"/>
      <c r="T1543" s="8"/>
      <c r="AC1543" s="8"/>
    </row>
    <row r="1544" spans="2:29" ht="15" x14ac:dyDescent="0.2">
      <c r="B1544" s="8"/>
      <c r="K1544" s="8"/>
      <c r="T1544" s="8"/>
      <c r="AC1544" s="8"/>
    </row>
    <row r="1545" spans="2:29" ht="15" x14ac:dyDescent="0.2">
      <c r="B1545" s="8"/>
      <c r="K1545" s="8"/>
      <c r="T1545" s="8"/>
      <c r="AC1545" s="8"/>
    </row>
    <row r="1546" spans="2:29" ht="15" x14ac:dyDescent="0.2">
      <c r="B1546" s="8"/>
      <c r="K1546" s="8"/>
      <c r="T1546" s="8"/>
      <c r="AC1546" s="8"/>
    </row>
    <row r="1547" spans="2:29" ht="15" x14ac:dyDescent="0.2">
      <c r="B1547" s="8"/>
      <c r="K1547" s="8"/>
      <c r="T1547" s="8"/>
      <c r="AC1547" s="8"/>
    </row>
    <row r="1548" spans="2:29" ht="15" x14ac:dyDescent="0.2">
      <c r="B1548" s="8"/>
      <c r="K1548" s="8"/>
      <c r="T1548" s="8"/>
      <c r="AC1548" s="8"/>
    </row>
    <row r="1549" spans="2:29" ht="15" x14ac:dyDescent="0.2">
      <c r="B1549" s="8"/>
      <c r="K1549" s="8"/>
      <c r="T1549" s="8"/>
      <c r="AC1549" s="8"/>
    </row>
    <row r="1550" spans="2:29" ht="15" x14ac:dyDescent="0.2">
      <c r="B1550" s="8"/>
      <c r="K1550" s="8"/>
      <c r="T1550" s="8"/>
      <c r="AC1550" s="8"/>
    </row>
    <row r="1551" spans="2:29" ht="15" x14ac:dyDescent="0.2">
      <c r="B1551" s="8"/>
      <c r="K1551" s="8"/>
      <c r="T1551" s="8"/>
      <c r="AC1551" s="8"/>
    </row>
    <row r="1552" spans="2:29" ht="15" x14ac:dyDescent="0.2">
      <c r="B1552" s="8"/>
      <c r="K1552" s="8"/>
      <c r="T1552" s="8"/>
      <c r="AC1552" s="8"/>
    </row>
    <row r="1553" spans="2:29" ht="15" x14ac:dyDescent="0.2">
      <c r="B1553" s="8"/>
      <c r="K1553" s="8"/>
      <c r="T1553" s="8"/>
      <c r="AC1553" s="8"/>
    </row>
    <row r="1554" spans="2:29" ht="15" x14ac:dyDescent="0.2">
      <c r="B1554" s="8"/>
      <c r="K1554" s="8"/>
      <c r="T1554" s="8"/>
      <c r="AC1554" s="8"/>
    </row>
    <row r="1555" spans="2:29" ht="15" x14ac:dyDescent="0.2">
      <c r="B1555" s="8"/>
      <c r="K1555" s="8"/>
      <c r="T1555" s="8"/>
      <c r="AC1555" s="8"/>
    </row>
    <row r="1556" spans="2:29" ht="15" x14ac:dyDescent="0.2">
      <c r="B1556" s="8"/>
      <c r="K1556" s="8"/>
      <c r="T1556" s="8"/>
      <c r="AC1556" s="8"/>
    </row>
    <row r="1557" spans="2:29" ht="15" x14ac:dyDescent="0.2">
      <c r="B1557" s="8"/>
      <c r="K1557" s="8"/>
      <c r="T1557" s="8"/>
      <c r="AC1557" s="8"/>
    </row>
    <row r="1558" spans="2:29" ht="15" x14ac:dyDescent="0.2">
      <c r="B1558" s="8"/>
      <c r="K1558" s="8"/>
      <c r="T1558" s="8"/>
      <c r="AC1558" s="8"/>
    </row>
    <row r="1559" spans="2:29" ht="15" x14ac:dyDescent="0.2">
      <c r="B1559" s="8"/>
      <c r="K1559" s="8"/>
      <c r="T1559" s="8"/>
      <c r="AC1559" s="8"/>
    </row>
    <row r="1560" spans="2:29" ht="15" x14ac:dyDescent="0.2">
      <c r="B1560" s="8"/>
      <c r="K1560" s="8"/>
      <c r="T1560" s="8"/>
      <c r="AC1560" s="8"/>
    </row>
    <row r="1561" spans="2:29" ht="15" x14ac:dyDescent="0.2">
      <c r="B1561" s="8"/>
      <c r="K1561" s="8"/>
      <c r="T1561" s="8"/>
      <c r="AC1561" s="8"/>
    </row>
    <row r="1562" spans="2:29" ht="15" x14ac:dyDescent="0.2">
      <c r="B1562" s="8"/>
      <c r="K1562" s="8"/>
      <c r="T1562" s="8"/>
      <c r="AC1562" s="8"/>
    </row>
    <row r="1563" spans="2:29" ht="15" x14ac:dyDescent="0.2">
      <c r="B1563" s="8"/>
      <c r="K1563" s="8"/>
      <c r="T1563" s="8"/>
      <c r="AC1563" s="8"/>
    </row>
    <row r="1564" spans="2:29" ht="15" x14ac:dyDescent="0.2">
      <c r="B1564" s="8"/>
      <c r="K1564" s="8"/>
      <c r="T1564" s="8"/>
      <c r="AC1564" s="8"/>
    </row>
    <row r="1565" spans="2:29" ht="15" x14ac:dyDescent="0.2">
      <c r="B1565" s="8"/>
      <c r="K1565" s="8"/>
      <c r="T1565" s="8"/>
      <c r="AC1565" s="8"/>
    </row>
    <row r="1566" spans="2:29" ht="15" x14ac:dyDescent="0.2">
      <c r="B1566" s="8"/>
      <c r="K1566" s="8"/>
      <c r="T1566" s="8"/>
      <c r="AC1566" s="8"/>
    </row>
    <row r="1567" spans="2:29" ht="15" x14ac:dyDescent="0.2">
      <c r="B1567" s="8"/>
      <c r="K1567" s="8"/>
      <c r="T1567" s="8"/>
      <c r="AC1567" s="8"/>
    </row>
    <row r="1568" spans="2:29" ht="15" x14ac:dyDescent="0.2">
      <c r="B1568" s="8"/>
      <c r="K1568" s="8"/>
      <c r="T1568" s="8"/>
      <c r="AC1568" s="8"/>
    </row>
    <row r="1569" spans="2:29" ht="15" x14ac:dyDescent="0.2">
      <c r="B1569" s="8"/>
      <c r="K1569" s="8"/>
      <c r="T1569" s="8"/>
      <c r="AC1569" s="8"/>
    </row>
    <row r="1570" spans="2:29" ht="15" x14ac:dyDescent="0.2">
      <c r="B1570" s="8"/>
      <c r="K1570" s="8"/>
      <c r="T1570" s="8"/>
      <c r="AC1570" s="8"/>
    </row>
    <row r="1571" spans="2:29" ht="15" x14ac:dyDescent="0.2">
      <c r="B1571" s="8"/>
      <c r="K1571" s="8"/>
      <c r="T1571" s="8"/>
      <c r="AC1571" s="8"/>
    </row>
    <row r="1572" spans="2:29" ht="15" x14ac:dyDescent="0.2">
      <c r="B1572" s="8"/>
      <c r="K1572" s="8"/>
      <c r="T1572" s="8"/>
      <c r="AC1572" s="8"/>
    </row>
    <row r="1573" spans="2:29" ht="15" x14ac:dyDescent="0.2">
      <c r="B1573" s="8"/>
      <c r="K1573" s="8"/>
      <c r="T1573" s="8"/>
      <c r="AC1573" s="8"/>
    </row>
    <row r="1574" spans="2:29" ht="15" x14ac:dyDescent="0.2">
      <c r="B1574" s="8"/>
      <c r="K1574" s="8"/>
      <c r="T1574" s="8"/>
      <c r="AC1574" s="8"/>
    </row>
    <row r="1575" spans="2:29" ht="15" x14ac:dyDescent="0.2">
      <c r="B1575" s="8"/>
      <c r="K1575" s="8"/>
      <c r="T1575" s="8"/>
      <c r="AC1575" s="8"/>
    </row>
    <row r="1576" spans="2:29" ht="15" x14ac:dyDescent="0.2">
      <c r="B1576" s="8"/>
      <c r="K1576" s="8"/>
      <c r="T1576" s="8"/>
      <c r="AC1576" s="8"/>
    </row>
    <row r="1577" spans="2:29" ht="15" x14ac:dyDescent="0.2">
      <c r="B1577" s="8"/>
      <c r="K1577" s="8"/>
      <c r="T1577" s="8"/>
      <c r="AC1577" s="8"/>
    </row>
    <row r="1578" spans="2:29" ht="15" x14ac:dyDescent="0.2">
      <c r="B1578" s="8"/>
      <c r="K1578" s="8"/>
      <c r="T1578" s="8"/>
      <c r="AC1578" s="8"/>
    </row>
    <row r="1579" spans="2:29" ht="15" x14ac:dyDescent="0.2">
      <c r="B1579" s="8"/>
      <c r="K1579" s="8"/>
      <c r="T1579" s="8"/>
      <c r="AC1579" s="8"/>
    </row>
    <row r="1580" spans="2:29" ht="15" x14ac:dyDescent="0.2">
      <c r="B1580" s="8"/>
      <c r="K1580" s="8"/>
      <c r="T1580" s="8"/>
      <c r="AC1580" s="8"/>
    </row>
    <row r="1581" spans="2:29" ht="15" x14ac:dyDescent="0.2">
      <c r="B1581" s="8"/>
      <c r="K1581" s="8"/>
      <c r="T1581" s="8"/>
      <c r="AC1581" s="8"/>
    </row>
    <row r="1582" spans="2:29" ht="15" x14ac:dyDescent="0.2">
      <c r="B1582" s="8"/>
      <c r="K1582" s="8"/>
      <c r="T1582" s="8"/>
      <c r="AC1582" s="8"/>
    </row>
    <row r="1583" spans="2:29" ht="15" x14ac:dyDescent="0.2">
      <c r="B1583" s="8"/>
      <c r="K1583" s="8"/>
      <c r="T1583" s="8"/>
      <c r="AC1583" s="8"/>
    </row>
    <row r="1584" spans="2:29" ht="15" x14ac:dyDescent="0.2">
      <c r="B1584" s="8"/>
      <c r="K1584" s="8"/>
      <c r="T1584" s="8"/>
      <c r="AC1584" s="8"/>
    </row>
    <row r="1585" spans="2:29" ht="15" x14ac:dyDescent="0.2">
      <c r="B1585" s="8"/>
      <c r="K1585" s="8"/>
      <c r="T1585" s="8"/>
      <c r="AC1585" s="8"/>
    </row>
    <row r="1586" spans="2:29" ht="15" x14ac:dyDescent="0.2">
      <c r="B1586" s="8"/>
      <c r="K1586" s="8"/>
      <c r="T1586" s="8"/>
      <c r="AC1586" s="8"/>
    </row>
    <row r="1587" spans="2:29" ht="15" x14ac:dyDescent="0.2">
      <c r="B1587" s="8"/>
      <c r="K1587" s="8"/>
      <c r="T1587" s="8"/>
      <c r="AC1587" s="8"/>
    </row>
    <row r="1588" spans="2:29" ht="15" x14ac:dyDescent="0.2">
      <c r="B1588" s="8"/>
      <c r="K1588" s="8"/>
      <c r="T1588" s="8"/>
      <c r="AC1588" s="8"/>
    </row>
    <row r="1589" spans="2:29" ht="15" x14ac:dyDescent="0.2">
      <c r="B1589" s="8"/>
      <c r="K1589" s="8"/>
      <c r="T1589" s="8"/>
      <c r="AC1589" s="8"/>
    </row>
    <row r="1590" spans="2:29" ht="15" x14ac:dyDescent="0.2">
      <c r="B1590" s="8"/>
      <c r="K1590" s="8"/>
      <c r="T1590" s="8"/>
      <c r="AC1590" s="8"/>
    </row>
    <row r="1591" spans="2:29" ht="15" x14ac:dyDescent="0.2">
      <c r="B1591" s="8"/>
      <c r="K1591" s="8"/>
      <c r="T1591" s="8"/>
      <c r="AC1591" s="8"/>
    </row>
    <row r="1592" spans="2:29" ht="15" x14ac:dyDescent="0.2">
      <c r="B1592" s="8"/>
      <c r="K1592" s="8"/>
      <c r="T1592" s="8"/>
      <c r="AC1592" s="8"/>
    </row>
    <row r="1593" spans="2:29" ht="15" x14ac:dyDescent="0.2">
      <c r="B1593" s="8"/>
      <c r="K1593" s="8"/>
      <c r="T1593" s="8"/>
      <c r="AC1593" s="8"/>
    </row>
    <row r="1594" spans="2:29" ht="15" x14ac:dyDescent="0.2">
      <c r="B1594" s="8"/>
      <c r="K1594" s="8"/>
      <c r="T1594" s="8"/>
      <c r="AC1594" s="8"/>
    </row>
    <row r="1595" spans="2:29" ht="15" x14ac:dyDescent="0.2">
      <c r="B1595" s="8"/>
      <c r="K1595" s="8"/>
      <c r="T1595" s="8"/>
      <c r="AC1595" s="8"/>
    </row>
    <row r="1596" spans="2:29" ht="15" x14ac:dyDescent="0.2">
      <c r="B1596" s="8"/>
      <c r="K1596" s="8"/>
      <c r="T1596" s="8"/>
      <c r="AC1596" s="8"/>
    </row>
    <row r="1597" spans="2:29" ht="15" x14ac:dyDescent="0.2">
      <c r="B1597" s="8"/>
      <c r="K1597" s="8"/>
      <c r="T1597" s="8"/>
      <c r="AC1597" s="8"/>
    </row>
    <row r="1598" spans="2:29" ht="15" x14ac:dyDescent="0.2">
      <c r="B1598" s="8"/>
      <c r="K1598" s="8"/>
      <c r="T1598" s="8"/>
      <c r="AC1598" s="8"/>
    </row>
    <row r="1599" spans="2:29" ht="15" x14ac:dyDescent="0.2">
      <c r="B1599" s="8"/>
      <c r="K1599" s="8"/>
      <c r="T1599" s="8"/>
      <c r="AC1599" s="8"/>
    </row>
    <row r="1600" spans="2:29" ht="15" x14ac:dyDescent="0.2">
      <c r="B1600" s="8"/>
      <c r="K1600" s="8"/>
      <c r="T1600" s="8"/>
      <c r="AC1600" s="8"/>
    </row>
    <row r="1601" spans="2:29" ht="15" x14ac:dyDescent="0.2">
      <c r="B1601" s="8"/>
      <c r="K1601" s="8"/>
      <c r="T1601" s="8"/>
      <c r="AC1601" s="8"/>
    </row>
    <row r="1602" spans="2:29" ht="15" x14ac:dyDescent="0.2">
      <c r="B1602" s="8"/>
      <c r="K1602" s="8"/>
      <c r="T1602" s="8"/>
      <c r="AC1602" s="8"/>
    </row>
    <row r="1603" spans="2:29" ht="15" x14ac:dyDescent="0.2">
      <c r="B1603" s="8"/>
      <c r="K1603" s="8"/>
      <c r="T1603" s="8"/>
      <c r="AC1603" s="8"/>
    </row>
    <row r="1604" spans="2:29" ht="15" x14ac:dyDescent="0.2">
      <c r="B1604" s="8"/>
      <c r="K1604" s="8"/>
      <c r="T1604" s="8"/>
      <c r="AC1604" s="8"/>
    </row>
    <row r="1605" spans="2:29" ht="15" x14ac:dyDescent="0.2">
      <c r="B1605" s="8"/>
      <c r="K1605" s="8"/>
      <c r="T1605" s="8"/>
      <c r="AC1605" s="8"/>
    </row>
    <row r="1606" spans="2:29" ht="15" x14ac:dyDescent="0.2">
      <c r="B1606" s="8"/>
      <c r="K1606" s="8"/>
      <c r="T1606" s="8"/>
      <c r="AC1606" s="8"/>
    </row>
    <row r="1607" spans="2:29" ht="15" x14ac:dyDescent="0.2">
      <c r="B1607" s="8"/>
      <c r="K1607" s="8"/>
      <c r="T1607" s="8"/>
      <c r="AC1607" s="8"/>
    </row>
    <row r="1608" spans="2:29" ht="15" x14ac:dyDescent="0.2">
      <c r="B1608" s="8"/>
      <c r="K1608" s="8"/>
      <c r="T1608" s="8"/>
      <c r="AC1608" s="8"/>
    </row>
    <row r="1609" spans="2:29" ht="15" x14ac:dyDescent="0.2">
      <c r="B1609" s="8"/>
      <c r="K1609" s="8"/>
      <c r="T1609" s="8"/>
      <c r="AC1609" s="8"/>
    </row>
    <row r="1610" spans="2:29" ht="15" x14ac:dyDescent="0.2">
      <c r="B1610" s="8"/>
      <c r="K1610" s="8"/>
      <c r="T1610" s="8"/>
      <c r="AC1610" s="8"/>
    </row>
    <row r="1611" spans="2:29" ht="15" x14ac:dyDescent="0.2">
      <c r="B1611" s="8"/>
      <c r="K1611" s="8"/>
      <c r="T1611" s="8"/>
      <c r="AC1611" s="8"/>
    </row>
    <row r="1612" spans="2:29" ht="15" x14ac:dyDescent="0.2">
      <c r="B1612" s="8"/>
      <c r="K1612" s="8"/>
      <c r="T1612" s="8"/>
      <c r="AC1612" s="8"/>
    </row>
    <row r="1613" spans="2:29" ht="15" x14ac:dyDescent="0.2">
      <c r="B1613" s="8"/>
      <c r="K1613" s="8"/>
      <c r="T1613" s="8"/>
      <c r="AC1613" s="8"/>
    </row>
    <row r="1614" spans="2:29" ht="15" x14ac:dyDescent="0.2">
      <c r="B1614" s="8"/>
      <c r="K1614" s="8"/>
      <c r="T1614" s="8"/>
      <c r="AC1614" s="8"/>
    </row>
    <row r="1615" spans="2:29" ht="15" x14ac:dyDescent="0.2">
      <c r="B1615" s="8"/>
      <c r="K1615" s="8"/>
      <c r="T1615" s="8"/>
      <c r="AC1615" s="8"/>
    </row>
    <row r="1616" spans="2:29" ht="15" x14ac:dyDescent="0.2">
      <c r="B1616" s="8"/>
      <c r="K1616" s="8"/>
      <c r="T1616" s="8"/>
      <c r="AC1616" s="8"/>
    </row>
    <row r="1617" spans="2:29" ht="15" x14ac:dyDescent="0.2">
      <c r="B1617" s="8"/>
      <c r="K1617" s="8"/>
      <c r="T1617" s="8"/>
      <c r="AC1617" s="8"/>
    </row>
    <row r="1618" spans="2:29" ht="15" x14ac:dyDescent="0.2">
      <c r="B1618" s="8"/>
      <c r="K1618" s="8"/>
      <c r="T1618" s="8"/>
      <c r="AC1618" s="8"/>
    </row>
    <row r="1619" spans="2:29" ht="15" x14ac:dyDescent="0.2">
      <c r="B1619" s="8"/>
      <c r="K1619" s="8"/>
      <c r="T1619" s="8"/>
      <c r="AC1619" s="8"/>
    </row>
    <row r="1620" spans="2:29" ht="15" x14ac:dyDescent="0.2">
      <c r="B1620" s="8"/>
      <c r="K1620" s="8"/>
      <c r="T1620" s="8"/>
      <c r="AC1620" s="8"/>
    </row>
    <row r="1621" spans="2:29" ht="15" x14ac:dyDescent="0.2">
      <c r="B1621" s="8"/>
      <c r="K1621" s="8"/>
      <c r="T1621" s="8"/>
      <c r="AC1621" s="8"/>
    </row>
    <row r="1622" spans="2:29" ht="15" x14ac:dyDescent="0.2">
      <c r="B1622" s="8"/>
      <c r="K1622" s="8"/>
      <c r="T1622" s="8"/>
      <c r="AC1622" s="8"/>
    </row>
    <row r="1623" spans="2:29" ht="15" x14ac:dyDescent="0.2">
      <c r="B1623" s="8"/>
      <c r="K1623" s="8"/>
      <c r="T1623" s="8"/>
      <c r="AC1623" s="8"/>
    </row>
    <row r="1624" spans="2:29" ht="15" x14ac:dyDescent="0.2">
      <c r="B1624" s="8"/>
      <c r="K1624" s="8"/>
      <c r="T1624" s="8"/>
      <c r="AC1624" s="8"/>
    </row>
    <row r="1625" spans="2:29" ht="15" x14ac:dyDescent="0.2">
      <c r="B1625" s="8"/>
      <c r="K1625" s="8"/>
      <c r="T1625" s="8"/>
      <c r="AC1625" s="8"/>
    </row>
    <row r="1626" spans="2:29" ht="15" x14ac:dyDescent="0.2">
      <c r="B1626" s="8"/>
      <c r="K1626" s="8"/>
      <c r="T1626" s="8"/>
      <c r="AC1626" s="8"/>
    </row>
    <row r="1627" spans="2:29" ht="15" x14ac:dyDescent="0.2">
      <c r="B1627" s="8"/>
      <c r="K1627" s="8"/>
      <c r="T1627" s="8"/>
      <c r="AC1627" s="8"/>
    </row>
    <row r="1628" spans="2:29" ht="15" x14ac:dyDescent="0.2">
      <c r="B1628" s="8"/>
      <c r="K1628" s="8"/>
      <c r="T1628" s="8"/>
      <c r="AC1628" s="8"/>
    </row>
    <row r="1629" spans="2:29" ht="15" x14ac:dyDescent="0.2">
      <c r="B1629" s="8"/>
      <c r="K1629" s="8"/>
      <c r="T1629" s="8"/>
      <c r="AC1629" s="8"/>
    </row>
    <row r="1630" spans="2:29" ht="15" x14ac:dyDescent="0.2">
      <c r="B1630" s="8"/>
      <c r="K1630" s="8"/>
      <c r="T1630" s="8"/>
      <c r="AC1630" s="8"/>
    </row>
    <row r="1631" spans="2:29" ht="15" x14ac:dyDescent="0.2">
      <c r="B1631" s="8"/>
      <c r="K1631" s="8"/>
      <c r="T1631" s="8"/>
      <c r="AC1631" s="8"/>
    </row>
    <row r="1632" spans="2:29" ht="15" x14ac:dyDescent="0.2">
      <c r="B1632" s="8"/>
      <c r="K1632" s="8"/>
      <c r="T1632" s="8"/>
      <c r="AC1632" s="8"/>
    </row>
    <row r="1633" spans="2:29" ht="15" x14ac:dyDescent="0.2">
      <c r="B1633" s="8"/>
      <c r="K1633" s="8"/>
      <c r="T1633" s="8"/>
      <c r="AC1633" s="8"/>
    </row>
    <row r="1634" spans="2:29" ht="15" x14ac:dyDescent="0.2">
      <c r="B1634" s="8"/>
      <c r="K1634" s="8"/>
      <c r="T1634" s="8"/>
      <c r="AC1634" s="8"/>
    </row>
    <row r="1635" spans="2:29" ht="15" x14ac:dyDescent="0.2">
      <c r="B1635" s="8"/>
      <c r="K1635" s="8"/>
      <c r="T1635" s="8"/>
      <c r="AC1635" s="8"/>
    </row>
    <row r="1636" spans="2:29" ht="15" x14ac:dyDescent="0.2">
      <c r="B1636" s="8"/>
      <c r="K1636" s="8"/>
      <c r="T1636" s="8"/>
      <c r="AC1636" s="8"/>
    </row>
    <row r="1637" spans="2:29" ht="15" x14ac:dyDescent="0.2">
      <c r="B1637" s="8"/>
      <c r="K1637" s="8"/>
      <c r="T1637" s="8"/>
      <c r="AC1637" s="8"/>
    </row>
    <row r="1638" spans="2:29" ht="15" x14ac:dyDescent="0.2">
      <c r="B1638" s="8"/>
      <c r="K1638" s="8"/>
      <c r="T1638" s="8"/>
      <c r="AC1638" s="8"/>
    </row>
    <row r="1639" spans="2:29" ht="15" x14ac:dyDescent="0.2">
      <c r="B1639" s="8"/>
      <c r="K1639" s="8"/>
      <c r="T1639" s="8"/>
      <c r="AC1639" s="8"/>
    </row>
    <row r="1640" spans="2:29" ht="15" x14ac:dyDescent="0.2">
      <c r="B1640" s="8"/>
      <c r="K1640" s="8"/>
      <c r="T1640" s="8"/>
      <c r="AC1640" s="8"/>
    </row>
    <row r="1641" spans="2:29" ht="15" x14ac:dyDescent="0.2">
      <c r="B1641" s="8"/>
      <c r="K1641" s="8"/>
      <c r="T1641" s="8"/>
      <c r="AC1641" s="8"/>
    </row>
    <row r="1642" spans="2:29" ht="15" x14ac:dyDescent="0.2">
      <c r="B1642" s="8"/>
      <c r="K1642" s="8"/>
      <c r="T1642" s="8"/>
      <c r="AC1642" s="8"/>
    </row>
    <row r="1643" spans="2:29" ht="15" x14ac:dyDescent="0.2">
      <c r="B1643" s="8"/>
      <c r="K1643" s="8"/>
      <c r="T1643" s="8"/>
      <c r="AC1643" s="8"/>
    </row>
    <row r="1644" spans="2:29" ht="15" x14ac:dyDescent="0.2">
      <c r="B1644" s="8"/>
      <c r="K1644" s="8"/>
      <c r="T1644" s="8"/>
      <c r="AC1644" s="8"/>
    </row>
    <row r="1645" spans="2:29" ht="15" x14ac:dyDescent="0.2">
      <c r="B1645" s="8"/>
      <c r="K1645" s="8"/>
      <c r="T1645" s="8"/>
      <c r="AC1645" s="8"/>
    </row>
    <row r="1646" spans="2:29" ht="15" x14ac:dyDescent="0.2">
      <c r="B1646" s="8"/>
      <c r="K1646" s="8"/>
      <c r="T1646" s="8"/>
      <c r="AC1646" s="8"/>
    </row>
    <row r="1647" spans="2:29" ht="15" x14ac:dyDescent="0.2">
      <c r="B1647" s="8"/>
      <c r="K1647" s="8"/>
      <c r="T1647" s="8"/>
      <c r="AC1647" s="8"/>
    </row>
    <row r="1648" spans="2:29" ht="15" x14ac:dyDescent="0.2">
      <c r="B1648" s="8"/>
      <c r="K1648" s="8"/>
      <c r="T1648" s="8"/>
      <c r="AC1648" s="8"/>
    </row>
    <row r="1649" spans="2:29" ht="15" x14ac:dyDescent="0.2">
      <c r="B1649" s="8"/>
      <c r="K1649" s="8"/>
      <c r="T1649" s="8"/>
      <c r="AC1649" s="8"/>
    </row>
    <row r="1650" spans="2:29" ht="15" x14ac:dyDescent="0.2">
      <c r="B1650" s="8"/>
      <c r="K1650" s="8"/>
      <c r="T1650" s="8"/>
      <c r="AC1650" s="8"/>
    </row>
    <row r="1651" spans="2:29" ht="15" x14ac:dyDescent="0.2">
      <c r="B1651" s="8"/>
      <c r="K1651" s="8"/>
      <c r="T1651" s="8"/>
      <c r="AC1651" s="8"/>
    </row>
    <row r="1652" spans="2:29" ht="15" x14ac:dyDescent="0.2">
      <c r="B1652" s="8"/>
      <c r="K1652" s="8"/>
      <c r="T1652" s="8"/>
      <c r="AC1652" s="8"/>
    </row>
    <row r="1653" spans="2:29" ht="15" x14ac:dyDescent="0.2">
      <c r="B1653" s="8"/>
      <c r="K1653" s="8"/>
      <c r="T1653" s="8"/>
      <c r="AC1653" s="8"/>
    </row>
    <row r="1654" spans="2:29" ht="15" x14ac:dyDescent="0.2">
      <c r="B1654" s="8"/>
      <c r="K1654" s="8"/>
      <c r="T1654" s="8"/>
      <c r="AC1654" s="8"/>
    </row>
    <row r="1655" spans="2:29" ht="15" x14ac:dyDescent="0.2">
      <c r="B1655" s="8"/>
      <c r="K1655" s="8"/>
      <c r="T1655" s="8"/>
      <c r="AC1655" s="8"/>
    </row>
    <row r="1656" spans="2:29" ht="15" x14ac:dyDescent="0.2">
      <c r="B1656" s="8"/>
      <c r="K1656" s="8"/>
      <c r="T1656" s="8"/>
      <c r="AC1656" s="8"/>
    </row>
    <row r="1657" spans="2:29" ht="15" x14ac:dyDescent="0.2">
      <c r="B1657" s="8"/>
      <c r="K1657" s="8"/>
      <c r="T1657" s="8"/>
      <c r="AC1657" s="8"/>
    </row>
    <row r="1658" spans="2:29" ht="15" x14ac:dyDescent="0.2">
      <c r="B1658" s="8"/>
      <c r="K1658" s="8"/>
      <c r="T1658" s="8"/>
      <c r="AC1658" s="8"/>
    </row>
    <row r="1659" spans="2:29" ht="15" x14ac:dyDescent="0.2">
      <c r="B1659" s="8"/>
      <c r="K1659" s="8"/>
      <c r="T1659" s="8"/>
      <c r="AC1659" s="8"/>
    </row>
    <row r="1660" spans="2:29" ht="15" x14ac:dyDescent="0.2">
      <c r="B1660" s="8"/>
      <c r="K1660" s="8"/>
      <c r="T1660" s="8"/>
      <c r="AC1660" s="8"/>
    </row>
    <row r="1661" spans="2:29" ht="15" x14ac:dyDescent="0.2">
      <c r="B1661" s="8"/>
      <c r="K1661" s="8"/>
      <c r="T1661" s="8"/>
      <c r="AC1661" s="8"/>
    </row>
    <row r="1662" spans="2:29" ht="15" x14ac:dyDescent="0.2">
      <c r="B1662" s="8"/>
      <c r="K1662" s="8"/>
      <c r="T1662" s="8"/>
      <c r="AC1662" s="8"/>
    </row>
    <row r="1663" spans="2:29" ht="15" x14ac:dyDescent="0.2">
      <c r="B1663" s="8"/>
      <c r="K1663" s="8"/>
      <c r="T1663" s="8"/>
      <c r="AC1663" s="8"/>
    </row>
    <row r="1664" spans="2:29" ht="15" x14ac:dyDescent="0.2">
      <c r="B1664" s="8"/>
      <c r="K1664" s="8"/>
      <c r="T1664" s="8"/>
      <c r="AC1664" s="8"/>
    </row>
    <row r="1665" spans="2:29" ht="15" x14ac:dyDescent="0.2">
      <c r="B1665" s="8"/>
      <c r="K1665" s="8"/>
      <c r="T1665" s="8"/>
      <c r="AC1665" s="8"/>
    </row>
    <row r="1666" spans="2:29" ht="15" x14ac:dyDescent="0.2">
      <c r="B1666" s="8"/>
      <c r="K1666" s="8"/>
      <c r="T1666" s="8"/>
      <c r="AC1666" s="8"/>
    </row>
    <row r="1667" spans="2:29" ht="15" x14ac:dyDescent="0.2">
      <c r="B1667" s="8"/>
      <c r="K1667" s="8"/>
      <c r="T1667" s="8"/>
      <c r="AC1667" s="8"/>
    </row>
    <row r="1668" spans="2:29" ht="15" x14ac:dyDescent="0.2">
      <c r="B1668" s="8"/>
      <c r="K1668" s="8"/>
      <c r="T1668" s="8"/>
      <c r="AC1668" s="8"/>
    </row>
    <row r="1669" spans="2:29" ht="15" x14ac:dyDescent="0.2">
      <c r="B1669" s="8"/>
      <c r="K1669" s="8"/>
      <c r="T1669" s="8"/>
      <c r="AC1669" s="8"/>
    </row>
    <row r="1670" spans="2:29" ht="15" x14ac:dyDescent="0.2">
      <c r="B1670" s="8"/>
      <c r="K1670" s="8"/>
      <c r="T1670" s="8"/>
      <c r="AC1670" s="8"/>
    </row>
    <row r="1671" spans="2:29" ht="15" x14ac:dyDescent="0.2">
      <c r="B1671" s="8"/>
      <c r="K1671" s="8"/>
      <c r="T1671" s="8"/>
      <c r="AC1671" s="8"/>
    </row>
    <row r="1672" spans="2:29" ht="15" x14ac:dyDescent="0.2">
      <c r="B1672" s="8"/>
      <c r="K1672" s="8"/>
      <c r="T1672" s="8"/>
      <c r="AC1672" s="8"/>
    </row>
    <row r="1673" spans="2:29" ht="15" x14ac:dyDescent="0.2">
      <c r="B1673" s="8"/>
      <c r="K1673" s="8"/>
      <c r="T1673" s="8"/>
      <c r="AC1673" s="8"/>
    </row>
    <row r="1674" spans="2:29" ht="15" x14ac:dyDescent="0.2">
      <c r="B1674" s="8"/>
      <c r="K1674" s="8"/>
      <c r="T1674" s="8"/>
      <c r="AC1674" s="8"/>
    </row>
    <row r="1675" spans="2:29" ht="15" x14ac:dyDescent="0.2">
      <c r="B1675" s="8"/>
      <c r="K1675" s="8"/>
      <c r="T1675" s="8"/>
      <c r="AC1675" s="8"/>
    </row>
    <row r="1676" spans="2:29" ht="15" x14ac:dyDescent="0.2">
      <c r="B1676" s="8"/>
      <c r="K1676" s="8"/>
      <c r="T1676" s="8"/>
      <c r="AC1676" s="8"/>
    </row>
    <row r="1677" spans="2:29" ht="15" x14ac:dyDescent="0.2">
      <c r="B1677" s="8"/>
      <c r="K1677" s="8"/>
      <c r="T1677" s="8"/>
      <c r="AC1677" s="8"/>
    </row>
    <row r="1678" spans="2:29" ht="15" x14ac:dyDescent="0.2">
      <c r="B1678" s="8"/>
      <c r="K1678" s="8"/>
      <c r="T1678" s="8"/>
      <c r="AC1678" s="8"/>
    </row>
    <row r="1679" spans="2:29" ht="15" x14ac:dyDescent="0.2">
      <c r="B1679" s="8"/>
      <c r="K1679" s="8"/>
      <c r="T1679" s="8"/>
      <c r="AC1679" s="8"/>
    </row>
    <row r="1680" spans="2:29" ht="15" x14ac:dyDescent="0.2">
      <c r="B1680" s="8"/>
      <c r="K1680" s="8"/>
      <c r="T1680" s="8"/>
      <c r="AC1680" s="8"/>
    </row>
    <row r="1681" spans="2:29" ht="15" x14ac:dyDescent="0.2">
      <c r="B1681" s="8"/>
      <c r="K1681" s="8"/>
      <c r="T1681" s="8"/>
      <c r="AC1681" s="8"/>
    </row>
    <row r="1682" spans="2:29" ht="15" x14ac:dyDescent="0.2">
      <c r="B1682" s="8"/>
      <c r="K1682" s="8"/>
      <c r="T1682" s="8"/>
      <c r="AC1682" s="8"/>
    </row>
    <row r="1683" spans="2:29" ht="15" x14ac:dyDescent="0.2">
      <c r="B1683" s="8"/>
      <c r="K1683" s="8"/>
      <c r="T1683" s="8"/>
      <c r="AC1683" s="8"/>
    </row>
    <row r="1684" spans="2:29" ht="15" x14ac:dyDescent="0.2">
      <c r="B1684" s="8"/>
      <c r="K1684" s="8"/>
      <c r="T1684" s="8"/>
      <c r="AC1684" s="8"/>
    </row>
    <row r="1685" spans="2:29" ht="15" x14ac:dyDescent="0.2">
      <c r="B1685" s="8"/>
      <c r="K1685" s="8"/>
      <c r="T1685" s="8"/>
      <c r="AC1685" s="8"/>
    </row>
    <row r="1686" spans="2:29" ht="15" x14ac:dyDescent="0.2">
      <c r="B1686" s="8"/>
      <c r="K1686" s="8"/>
      <c r="T1686" s="8"/>
      <c r="AC1686" s="8"/>
    </row>
    <row r="1687" spans="2:29" ht="15" x14ac:dyDescent="0.2">
      <c r="B1687" s="8"/>
      <c r="K1687" s="8"/>
      <c r="T1687" s="8"/>
      <c r="AC1687" s="8"/>
    </row>
    <row r="1688" spans="2:29" ht="15" x14ac:dyDescent="0.2">
      <c r="B1688" s="8"/>
      <c r="K1688" s="8"/>
      <c r="T1688" s="8"/>
      <c r="AC1688" s="8"/>
    </row>
    <row r="1689" spans="2:29" ht="15" x14ac:dyDescent="0.2">
      <c r="B1689" s="8"/>
      <c r="K1689" s="8"/>
      <c r="T1689" s="8"/>
      <c r="AC1689" s="8"/>
    </row>
    <row r="1690" spans="2:29" ht="15" x14ac:dyDescent="0.2">
      <c r="B1690" s="8"/>
      <c r="K1690" s="8"/>
      <c r="T1690" s="8"/>
      <c r="AC1690" s="8"/>
    </row>
    <row r="1691" spans="2:29" ht="15" x14ac:dyDescent="0.2">
      <c r="B1691" s="8"/>
      <c r="K1691" s="8"/>
      <c r="T1691" s="8"/>
      <c r="AC1691" s="8"/>
    </row>
    <row r="1692" spans="2:29" ht="15" x14ac:dyDescent="0.2">
      <c r="B1692" s="8"/>
      <c r="K1692" s="8"/>
      <c r="T1692" s="8"/>
      <c r="AC1692" s="8"/>
    </row>
    <row r="1693" spans="2:29" ht="15" x14ac:dyDescent="0.2">
      <c r="B1693" s="8"/>
      <c r="K1693" s="8"/>
      <c r="T1693" s="8"/>
      <c r="AC1693" s="8"/>
    </row>
    <row r="1694" spans="2:29" ht="15" x14ac:dyDescent="0.2">
      <c r="B1694" s="8"/>
      <c r="K1694" s="8"/>
      <c r="T1694" s="8"/>
      <c r="AC1694" s="8"/>
    </row>
    <row r="1695" spans="2:29" ht="15" x14ac:dyDescent="0.2">
      <c r="B1695" s="8"/>
      <c r="K1695" s="8"/>
      <c r="T1695" s="8"/>
      <c r="AC1695" s="8"/>
    </row>
    <row r="1696" spans="2:29" ht="15" x14ac:dyDescent="0.2">
      <c r="B1696" s="8"/>
      <c r="K1696" s="8"/>
      <c r="T1696" s="8"/>
      <c r="AC1696" s="8"/>
    </row>
    <row r="1697" spans="2:29" ht="15" x14ac:dyDescent="0.2">
      <c r="B1697" s="8"/>
      <c r="K1697" s="8"/>
      <c r="T1697" s="8"/>
      <c r="AC1697" s="8"/>
    </row>
    <row r="1698" spans="2:29" ht="15" x14ac:dyDescent="0.2">
      <c r="B1698" s="8"/>
      <c r="K1698" s="8"/>
      <c r="T1698" s="8"/>
      <c r="AC1698" s="8"/>
    </row>
    <row r="1699" spans="2:29" ht="15" x14ac:dyDescent="0.2">
      <c r="B1699" s="8"/>
      <c r="K1699" s="8"/>
      <c r="T1699" s="8"/>
      <c r="AC1699" s="8"/>
    </row>
    <row r="1700" spans="2:29" ht="15" x14ac:dyDescent="0.2">
      <c r="B1700" s="8"/>
      <c r="K1700" s="8"/>
      <c r="T1700" s="8"/>
      <c r="AC1700" s="8"/>
    </row>
    <row r="1701" spans="2:29" ht="15" x14ac:dyDescent="0.2">
      <c r="B1701" s="8"/>
      <c r="K1701" s="8"/>
      <c r="T1701" s="8"/>
      <c r="AC1701" s="8"/>
    </row>
    <row r="1702" spans="2:29" ht="15" x14ac:dyDescent="0.2">
      <c r="B1702" s="8"/>
      <c r="K1702" s="8"/>
      <c r="T1702" s="8"/>
      <c r="AC1702" s="8"/>
    </row>
    <row r="1703" spans="2:29" ht="15" x14ac:dyDescent="0.2">
      <c r="B1703" s="8"/>
      <c r="K1703" s="8"/>
      <c r="T1703" s="8"/>
      <c r="AC1703" s="8"/>
    </row>
    <row r="1704" spans="2:29" ht="15" x14ac:dyDescent="0.2">
      <c r="B1704" s="8"/>
      <c r="K1704" s="8"/>
      <c r="T1704" s="8"/>
      <c r="AC1704" s="8"/>
    </row>
    <row r="1705" spans="2:29" ht="15" x14ac:dyDescent="0.2">
      <c r="B1705" s="8"/>
      <c r="K1705" s="8"/>
      <c r="T1705" s="8"/>
      <c r="AC1705" s="8"/>
    </row>
    <row r="1706" spans="2:29" ht="15" x14ac:dyDescent="0.2">
      <c r="B1706" s="8"/>
      <c r="K1706" s="8"/>
      <c r="T1706" s="8"/>
      <c r="AC1706" s="8"/>
    </row>
    <row r="1707" spans="2:29" ht="15" x14ac:dyDescent="0.2">
      <c r="B1707" s="8"/>
      <c r="K1707" s="8"/>
      <c r="T1707" s="8"/>
      <c r="AC1707" s="8"/>
    </row>
    <row r="1708" spans="2:29" ht="15" x14ac:dyDescent="0.2">
      <c r="B1708" s="8"/>
      <c r="K1708" s="8"/>
      <c r="T1708" s="8"/>
      <c r="AC1708" s="8"/>
    </row>
    <row r="1709" spans="2:29" ht="15" x14ac:dyDescent="0.2">
      <c r="B1709" s="8"/>
      <c r="K1709" s="8"/>
      <c r="T1709" s="8"/>
      <c r="AC1709" s="8"/>
    </row>
    <row r="1710" spans="2:29" ht="15" x14ac:dyDescent="0.2">
      <c r="B1710" s="8"/>
      <c r="K1710" s="8"/>
      <c r="T1710" s="8"/>
      <c r="AC1710" s="8"/>
    </row>
    <row r="1711" spans="2:29" ht="15" x14ac:dyDescent="0.2">
      <c r="B1711" s="8"/>
      <c r="K1711" s="8"/>
      <c r="T1711" s="8"/>
      <c r="AC1711" s="8"/>
    </row>
    <row r="1712" spans="2:29" ht="15" x14ac:dyDescent="0.2">
      <c r="B1712" s="8"/>
      <c r="K1712" s="8"/>
      <c r="T1712" s="8"/>
      <c r="AC1712" s="8"/>
    </row>
    <row r="1713" spans="2:29" ht="15" x14ac:dyDescent="0.2">
      <c r="B1713" s="8"/>
      <c r="K1713" s="8"/>
      <c r="T1713" s="8"/>
      <c r="AC1713" s="8"/>
    </row>
    <row r="1714" spans="2:29" ht="15" x14ac:dyDescent="0.2">
      <c r="B1714" s="8"/>
      <c r="K1714" s="8"/>
      <c r="T1714" s="8"/>
      <c r="AC1714" s="8"/>
    </row>
    <row r="1715" spans="2:29" ht="15" x14ac:dyDescent="0.2">
      <c r="B1715" s="8"/>
      <c r="K1715" s="8"/>
      <c r="T1715" s="8"/>
      <c r="AC1715" s="8"/>
    </row>
    <row r="1716" spans="2:29" ht="15" x14ac:dyDescent="0.2">
      <c r="B1716" s="8"/>
      <c r="K1716" s="8"/>
      <c r="T1716" s="8"/>
      <c r="AC1716" s="8"/>
    </row>
    <row r="1717" spans="2:29" ht="15" x14ac:dyDescent="0.2">
      <c r="B1717" s="8"/>
      <c r="K1717" s="8"/>
      <c r="T1717" s="8"/>
      <c r="AC1717" s="8"/>
    </row>
    <row r="1718" spans="2:29" ht="15" x14ac:dyDescent="0.2">
      <c r="B1718" s="8"/>
      <c r="K1718" s="8"/>
      <c r="T1718" s="8"/>
      <c r="AC1718" s="8"/>
    </row>
    <row r="1719" spans="2:29" ht="15" x14ac:dyDescent="0.2">
      <c r="B1719" s="8"/>
      <c r="K1719" s="8"/>
      <c r="T1719" s="8"/>
      <c r="AC1719" s="8"/>
    </row>
    <row r="1720" spans="2:29" ht="15" x14ac:dyDescent="0.2">
      <c r="B1720" s="8"/>
      <c r="K1720" s="8"/>
      <c r="T1720" s="8"/>
      <c r="AC1720" s="8"/>
    </row>
    <row r="1721" spans="2:29" ht="15" x14ac:dyDescent="0.2">
      <c r="B1721" s="8"/>
      <c r="K1721" s="8"/>
      <c r="T1721" s="8"/>
      <c r="AC1721" s="8"/>
    </row>
    <row r="1722" spans="2:29" ht="15" x14ac:dyDescent="0.2">
      <c r="B1722" s="8"/>
      <c r="K1722" s="8"/>
      <c r="T1722" s="8"/>
      <c r="AC1722" s="8"/>
    </row>
    <row r="1723" spans="2:29" ht="15" x14ac:dyDescent="0.2">
      <c r="B1723" s="8"/>
      <c r="K1723" s="8"/>
      <c r="T1723" s="8"/>
      <c r="AC1723" s="8"/>
    </row>
    <row r="1724" spans="2:29" ht="15" x14ac:dyDescent="0.2">
      <c r="B1724" s="8"/>
      <c r="K1724" s="8"/>
      <c r="T1724" s="8"/>
      <c r="AC1724" s="8"/>
    </row>
    <row r="1725" spans="2:29" ht="15" x14ac:dyDescent="0.2">
      <c r="B1725" s="8"/>
      <c r="K1725" s="8"/>
      <c r="T1725" s="8"/>
      <c r="AC1725" s="8"/>
    </row>
    <row r="1726" spans="2:29" ht="15" x14ac:dyDescent="0.2">
      <c r="B1726" s="8"/>
      <c r="K1726" s="8"/>
      <c r="T1726" s="8"/>
      <c r="AC1726" s="8"/>
    </row>
    <row r="1727" spans="2:29" ht="15" x14ac:dyDescent="0.2">
      <c r="B1727" s="8"/>
      <c r="K1727" s="8"/>
      <c r="T1727" s="8"/>
      <c r="AC1727" s="8"/>
    </row>
    <row r="1728" spans="2:29" ht="15" x14ac:dyDescent="0.2">
      <c r="B1728" s="8"/>
      <c r="K1728" s="8"/>
      <c r="T1728" s="8"/>
      <c r="AC1728" s="8"/>
    </row>
    <row r="1729" spans="2:29" ht="15" x14ac:dyDescent="0.2">
      <c r="B1729" s="8"/>
      <c r="K1729" s="8"/>
      <c r="T1729" s="8"/>
      <c r="AC1729" s="8"/>
    </row>
    <row r="1730" spans="2:29" ht="15" x14ac:dyDescent="0.2">
      <c r="B1730" s="8"/>
      <c r="K1730" s="8"/>
      <c r="T1730" s="8"/>
      <c r="AC1730" s="8"/>
    </row>
    <row r="1731" spans="2:29" ht="15" x14ac:dyDescent="0.2">
      <c r="B1731" s="8"/>
      <c r="K1731" s="8"/>
      <c r="T1731" s="8"/>
      <c r="AC1731" s="8"/>
    </row>
    <row r="1732" spans="2:29" ht="15" x14ac:dyDescent="0.2">
      <c r="B1732" s="8"/>
      <c r="K1732" s="8"/>
      <c r="T1732" s="8"/>
      <c r="AC1732" s="8"/>
    </row>
    <row r="1733" spans="2:29" ht="15" x14ac:dyDescent="0.2">
      <c r="B1733" s="8"/>
      <c r="K1733" s="8"/>
      <c r="T1733" s="8"/>
      <c r="AC1733" s="8"/>
    </row>
    <row r="1734" spans="2:29" ht="15" x14ac:dyDescent="0.2">
      <c r="B1734" s="8"/>
      <c r="K1734" s="8"/>
      <c r="T1734" s="8"/>
      <c r="AC1734" s="8"/>
    </row>
    <row r="1735" spans="2:29" ht="15" x14ac:dyDescent="0.2">
      <c r="B1735" s="8"/>
      <c r="K1735" s="8"/>
      <c r="T1735" s="8"/>
      <c r="AC1735" s="8"/>
    </row>
    <row r="1736" spans="2:29" ht="15" x14ac:dyDescent="0.2">
      <c r="B1736" s="8"/>
      <c r="K1736" s="8"/>
      <c r="T1736" s="8"/>
      <c r="AC1736" s="8"/>
    </row>
    <row r="1737" spans="2:29" ht="15" x14ac:dyDescent="0.2">
      <c r="B1737" s="8"/>
      <c r="K1737" s="8"/>
      <c r="T1737" s="8"/>
      <c r="AC1737" s="8"/>
    </row>
    <row r="1738" spans="2:29" ht="15" x14ac:dyDescent="0.2">
      <c r="B1738" s="8"/>
      <c r="K1738" s="8"/>
      <c r="T1738" s="8"/>
      <c r="AC1738" s="8"/>
    </row>
    <row r="1739" spans="2:29" ht="15" x14ac:dyDescent="0.2">
      <c r="B1739" s="8"/>
      <c r="K1739" s="8"/>
      <c r="T1739" s="8"/>
      <c r="AC1739" s="8"/>
    </row>
    <row r="1740" spans="2:29" ht="15" x14ac:dyDescent="0.2">
      <c r="B1740" s="8"/>
      <c r="K1740" s="8"/>
      <c r="T1740" s="8"/>
      <c r="AC1740" s="8"/>
    </row>
    <row r="1741" spans="2:29" ht="15" x14ac:dyDescent="0.2">
      <c r="B1741" s="8"/>
      <c r="K1741" s="8"/>
      <c r="T1741" s="8"/>
      <c r="AC1741" s="8"/>
    </row>
    <row r="1742" spans="2:29" ht="15" x14ac:dyDescent="0.2">
      <c r="B1742" s="8"/>
      <c r="K1742" s="8"/>
      <c r="T1742" s="8"/>
      <c r="AC1742" s="8"/>
    </row>
    <row r="1743" spans="2:29" ht="15" x14ac:dyDescent="0.2">
      <c r="B1743" s="8"/>
      <c r="K1743" s="8"/>
      <c r="T1743" s="8"/>
      <c r="AC1743" s="8"/>
    </row>
    <row r="1744" spans="2:29" ht="15" x14ac:dyDescent="0.2">
      <c r="B1744" s="8"/>
      <c r="K1744" s="8"/>
      <c r="T1744" s="8"/>
      <c r="AC1744" s="8"/>
    </row>
    <row r="1745" spans="2:29" ht="15" x14ac:dyDescent="0.2">
      <c r="B1745" s="8"/>
      <c r="K1745" s="8"/>
      <c r="T1745" s="8"/>
      <c r="AC1745" s="8"/>
    </row>
    <row r="1746" spans="2:29" ht="15" x14ac:dyDescent="0.2">
      <c r="B1746" s="8"/>
      <c r="K1746" s="8"/>
      <c r="T1746" s="8"/>
      <c r="AC1746" s="8"/>
    </row>
    <row r="1747" spans="2:29" ht="15" x14ac:dyDescent="0.2">
      <c r="B1747" s="8"/>
      <c r="K1747" s="8"/>
      <c r="T1747" s="8"/>
      <c r="AC1747" s="8"/>
    </row>
    <row r="1748" spans="2:29" ht="15" x14ac:dyDescent="0.2">
      <c r="B1748" s="8"/>
      <c r="K1748" s="8"/>
      <c r="T1748" s="8"/>
      <c r="AC1748" s="8"/>
    </row>
    <row r="1749" spans="2:29" ht="15" x14ac:dyDescent="0.2">
      <c r="B1749" s="8"/>
      <c r="K1749" s="8"/>
      <c r="T1749" s="8"/>
      <c r="AC1749" s="8"/>
    </row>
    <row r="1750" spans="2:29" ht="15" x14ac:dyDescent="0.2">
      <c r="B1750" s="8"/>
      <c r="K1750" s="8"/>
      <c r="T1750" s="8"/>
      <c r="AC1750" s="8"/>
    </row>
    <row r="1751" spans="2:29" ht="15" x14ac:dyDescent="0.2">
      <c r="B1751" s="8"/>
      <c r="K1751" s="8"/>
      <c r="T1751" s="8"/>
      <c r="AC1751" s="8"/>
    </row>
    <row r="1752" spans="2:29" ht="15" x14ac:dyDescent="0.2">
      <c r="B1752" s="8"/>
      <c r="K1752" s="8"/>
      <c r="T1752" s="8"/>
      <c r="AC1752" s="8"/>
    </row>
    <row r="1753" spans="2:29" ht="15" x14ac:dyDescent="0.2">
      <c r="B1753" s="8"/>
      <c r="K1753" s="8"/>
      <c r="T1753" s="8"/>
      <c r="AC1753" s="8"/>
    </row>
    <row r="1754" spans="2:29" ht="15" x14ac:dyDescent="0.2">
      <c r="B1754" s="8"/>
      <c r="K1754" s="8"/>
      <c r="T1754" s="8"/>
      <c r="AC1754" s="8"/>
    </row>
    <row r="1755" spans="2:29" ht="15" x14ac:dyDescent="0.2">
      <c r="B1755" s="8"/>
      <c r="K1755" s="8"/>
      <c r="T1755" s="8"/>
      <c r="AC1755" s="8"/>
    </row>
    <row r="1756" spans="2:29" ht="15" x14ac:dyDescent="0.2">
      <c r="B1756" s="8"/>
      <c r="K1756" s="8"/>
      <c r="T1756" s="8"/>
      <c r="AC1756" s="8"/>
    </row>
    <row r="1757" spans="2:29" ht="15" x14ac:dyDescent="0.2">
      <c r="B1757" s="8"/>
      <c r="K1757" s="8"/>
      <c r="T1757" s="8"/>
      <c r="AC1757" s="8"/>
    </row>
    <row r="1758" spans="2:29" ht="15" x14ac:dyDescent="0.2">
      <c r="B1758" s="8"/>
      <c r="K1758" s="8"/>
      <c r="T1758" s="8"/>
      <c r="AC1758" s="8"/>
    </row>
    <row r="1759" spans="2:29" ht="15" x14ac:dyDescent="0.2">
      <c r="B1759" s="8"/>
      <c r="K1759" s="8"/>
      <c r="T1759" s="8"/>
      <c r="AC1759" s="8"/>
    </row>
    <row r="1760" spans="2:29" ht="15" x14ac:dyDescent="0.2">
      <c r="B1760" s="8"/>
      <c r="K1760" s="8"/>
      <c r="T1760" s="8"/>
      <c r="AC1760" s="8"/>
    </row>
    <row r="1761" spans="2:29" ht="15" x14ac:dyDescent="0.2">
      <c r="B1761" s="8"/>
      <c r="K1761" s="8"/>
      <c r="T1761" s="8"/>
      <c r="AC1761" s="8"/>
    </row>
    <row r="1762" spans="2:29" ht="15" x14ac:dyDescent="0.2">
      <c r="B1762" s="8"/>
      <c r="K1762" s="8"/>
      <c r="T1762" s="8"/>
      <c r="AC1762" s="8"/>
    </row>
    <row r="1763" spans="2:29" ht="15" x14ac:dyDescent="0.2">
      <c r="B1763" s="8"/>
      <c r="K1763" s="8"/>
      <c r="T1763" s="8"/>
      <c r="AC1763" s="8"/>
    </row>
    <row r="1764" spans="2:29" ht="15" x14ac:dyDescent="0.2">
      <c r="B1764" s="8"/>
      <c r="K1764" s="8"/>
      <c r="T1764" s="8"/>
      <c r="AC1764" s="8"/>
    </row>
    <row r="1765" spans="2:29" ht="15" x14ac:dyDescent="0.2">
      <c r="B1765" s="8"/>
      <c r="K1765" s="8"/>
      <c r="T1765" s="8"/>
      <c r="AC1765" s="8"/>
    </row>
    <row r="1766" spans="2:29" ht="15" x14ac:dyDescent="0.2">
      <c r="B1766" s="8"/>
      <c r="K1766" s="8"/>
      <c r="T1766" s="8"/>
      <c r="AC1766" s="8"/>
    </row>
    <row r="1767" spans="2:29" ht="15" x14ac:dyDescent="0.2">
      <c r="B1767" s="8"/>
      <c r="K1767" s="8"/>
      <c r="T1767" s="8"/>
      <c r="AC1767" s="8"/>
    </row>
    <row r="1768" spans="2:29" ht="15" x14ac:dyDescent="0.2">
      <c r="B1768" s="8"/>
      <c r="K1768" s="8"/>
      <c r="T1768" s="8"/>
      <c r="AC1768" s="8"/>
    </row>
    <row r="1769" spans="2:29" ht="15" x14ac:dyDescent="0.2">
      <c r="B1769" s="8"/>
      <c r="K1769" s="8"/>
      <c r="T1769" s="8"/>
      <c r="AC1769" s="8"/>
    </row>
    <row r="1770" spans="2:29" ht="15" x14ac:dyDescent="0.2">
      <c r="B1770" s="8"/>
      <c r="K1770" s="8"/>
      <c r="T1770" s="8"/>
      <c r="AC1770" s="8"/>
    </row>
    <row r="1771" spans="2:29" ht="15" x14ac:dyDescent="0.2">
      <c r="B1771" s="8"/>
      <c r="K1771" s="8"/>
      <c r="T1771" s="8"/>
      <c r="AC1771" s="8"/>
    </row>
    <row r="1772" spans="2:29" ht="15" x14ac:dyDescent="0.2">
      <c r="B1772" s="8"/>
      <c r="K1772" s="8"/>
      <c r="T1772" s="8"/>
      <c r="AC1772" s="8"/>
    </row>
    <row r="1773" spans="2:29" ht="15" x14ac:dyDescent="0.2">
      <c r="B1773" s="8"/>
      <c r="K1773" s="8"/>
      <c r="T1773" s="8"/>
      <c r="AC1773" s="8"/>
    </row>
    <row r="1774" spans="2:29" ht="15" x14ac:dyDescent="0.2">
      <c r="B1774" s="8"/>
      <c r="K1774" s="8"/>
      <c r="T1774" s="8"/>
      <c r="AC1774" s="8"/>
    </row>
    <row r="1775" spans="2:29" ht="15" x14ac:dyDescent="0.2">
      <c r="B1775" s="8"/>
      <c r="K1775" s="8"/>
      <c r="T1775" s="8"/>
      <c r="AC1775" s="8"/>
    </row>
    <row r="1776" spans="2:29" ht="15" x14ac:dyDescent="0.2">
      <c r="B1776" s="8"/>
      <c r="K1776" s="8"/>
      <c r="T1776" s="8"/>
      <c r="AC1776" s="8"/>
    </row>
    <row r="1777" spans="2:29" ht="15" x14ac:dyDescent="0.2">
      <c r="B1777" s="8"/>
      <c r="K1777" s="8"/>
      <c r="T1777" s="8"/>
      <c r="AC1777" s="8"/>
    </row>
    <row r="1778" spans="2:29" ht="15" x14ac:dyDescent="0.2">
      <c r="B1778" s="8"/>
      <c r="K1778" s="8"/>
      <c r="T1778" s="8"/>
      <c r="AC1778" s="8"/>
    </row>
    <row r="1779" spans="2:29" ht="15" x14ac:dyDescent="0.2">
      <c r="B1779" s="8"/>
      <c r="K1779" s="8"/>
      <c r="T1779" s="8"/>
      <c r="AC1779" s="8"/>
    </row>
    <row r="1780" spans="2:29" ht="15" x14ac:dyDescent="0.2">
      <c r="B1780" s="8"/>
      <c r="K1780" s="8"/>
      <c r="T1780" s="8"/>
      <c r="AC1780" s="8"/>
    </row>
    <row r="1781" spans="2:29" ht="15" x14ac:dyDescent="0.2">
      <c r="B1781" s="8"/>
      <c r="K1781" s="8"/>
      <c r="T1781" s="8"/>
      <c r="AC1781" s="8"/>
    </row>
    <row r="1782" spans="2:29" ht="15" x14ac:dyDescent="0.2">
      <c r="B1782" s="8"/>
      <c r="K1782" s="8"/>
      <c r="T1782" s="8"/>
      <c r="AC1782" s="8"/>
    </row>
    <row r="1783" spans="2:29" ht="15" x14ac:dyDescent="0.2">
      <c r="B1783" s="8"/>
      <c r="K1783" s="8"/>
      <c r="T1783" s="8"/>
      <c r="AC1783" s="8"/>
    </row>
    <row r="1784" spans="2:29" ht="15" x14ac:dyDescent="0.2">
      <c r="B1784" s="8"/>
      <c r="K1784" s="8"/>
      <c r="T1784" s="8"/>
      <c r="AC1784" s="8"/>
    </row>
    <row r="1785" spans="2:29" ht="15" x14ac:dyDescent="0.2">
      <c r="B1785" s="8"/>
      <c r="K1785" s="8"/>
      <c r="T1785" s="8"/>
      <c r="AC1785" s="8"/>
    </row>
    <row r="1786" spans="2:29" ht="15" x14ac:dyDescent="0.2">
      <c r="B1786" s="8"/>
      <c r="K1786" s="8"/>
      <c r="T1786" s="8"/>
      <c r="AC1786" s="8"/>
    </row>
    <row r="1787" spans="2:29" ht="15" x14ac:dyDescent="0.2">
      <c r="B1787" s="8"/>
      <c r="K1787" s="8"/>
      <c r="T1787" s="8"/>
      <c r="AC1787" s="8"/>
    </row>
    <row r="1788" spans="2:29" ht="15" x14ac:dyDescent="0.2">
      <c r="B1788" s="8"/>
      <c r="K1788" s="8"/>
      <c r="T1788" s="8"/>
      <c r="AC1788" s="8"/>
    </row>
    <row r="1789" spans="2:29" ht="15" x14ac:dyDescent="0.2">
      <c r="B1789" s="8"/>
      <c r="K1789" s="8"/>
      <c r="T1789" s="8"/>
      <c r="AC1789" s="8"/>
    </row>
    <row r="1790" spans="2:29" ht="15" x14ac:dyDescent="0.2">
      <c r="B1790" s="8"/>
      <c r="K1790" s="8"/>
      <c r="T1790" s="8"/>
      <c r="AC1790" s="8"/>
    </row>
    <row r="1791" spans="2:29" ht="15" x14ac:dyDescent="0.2">
      <c r="B1791" s="8"/>
      <c r="K1791" s="8"/>
      <c r="T1791" s="8"/>
      <c r="AC1791" s="8"/>
    </row>
    <row r="1792" spans="2:29" ht="15" x14ac:dyDescent="0.2">
      <c r="B1792" s="8"/>
      <c r="K1792" s="8"/>
      <c r="T1792" s="8"/>
      <c r="AC1792" s="8"/>
    </row>
    <row r="1793" spans="2:29" ht="15" x14ac:dyDescent="0.2">
      <c r="B1793" s="8"/>
      <c r="K1793" s="8"/>
      <c r="T1793" s="8"/>
      <c r="AC1793" s="8"/>
    </row>
    <row r="1794" spans="2:29" ht="15" x14ac:dyDescent="0.2">
      <c r="B1794" s="8"/>
      <c r="K1794" s="8"/>
      <c r="T1794" s="8"/>
      <c r="AC1794" s="8"/>
    </row>
    <row r="1795" spans="2:29" ht="15" x14ac:dyDescent="0.2">
      <c r="B1795" s="8"/>
      <c r="K1795" s="8"/>
      <c r="T1795" s="8"/>
      <c r="AC1795" s="8"/>
    </row>
    <row r="1796" spans="2:29" ht="15" x14ac:dyDescent="0.2">
      <c r="B1796" s="8"/>
      <c r="K1796" s="8"/>
      <c r="T1796" s="8"/>
      <c r="AC1796" s="8"/>
    </row>
    <row r="1797" spans="2:29" ht="15" x14ac:dyDescent="0.2">
      <c r="B1797" s="8"/>
      <c r="K1797" s="8"/>
      <c r="T1797" s="8"/>
      <c r="AC1797" s="8"/>
    </row>
    <row r="1798" spans="2:29" ht="15" x14ac:dyDescent="0.2">
      <c r="B1798" s="8"/>
      <c r="K1798" s="8"/>
      <c r="T1798" s="8"/>
      <c r="AC1798" s="8"/>
    </row>
    <row r="1799" spans="2:29" ht="15" x14ac:dyDescent="0.2">
      <c r="B1799" s="8"/>
      <c r="K1799" s="8"/>
      <c r="T1799" s="8"/>
      <c r="AC1799" s="8"/>
    </row>
    <row r="1800" spans="2:29" ht="15" x14ac:dyDescent="0.2">
      <c r="B1800" s="8"/>
      <c r="K1800" s="8"/>
      <c r="T1800" s="8"/>
      <c r="AC1800" s="8"/>
    </row>
    <row r="1801" spans="2:29" ht="15" x14ac:dyDescent="0.2">
      <c r="B1801" s="8"/>
      <c r="K1801" s="8"/>
      <c r="T1801" s="8"/>
      <c r="AC1801" s="8"/>
    </row>
    <row r="1802" spans="2:29" ht="15" x14ac:dyDescent="0.2">
      <c r="B1802" s="8"/>
      <c r="K1802" s="8"/>
      <c r="T1802" s="8"/>
      <c r="AC1802" s="8"/>
    </row>
    <row r="1803" spans="2:29" ht="15" x14ac:dyDescent="0.2">
      <c r="B1803" s="8"/>
      <c r="K1803" s="8"/>
      <c r="T1803" s="8"/>
      <c r="AC1803" s="8"/>
    </row>
    <row r="1804" spans="2:29" ht="15" x14ac:dyDescent="0.2">
      <c r="B1804" s="8"/>
      <c r="K1804" s="8"/>
      <c r="T1804" s="8"/>
      <c r="AC1804" s="8"/>
    </row>
    <row r="1805" spans="2:29" ht="15" x14ac:dyDescent="0.2">
      <c r="B1805" s="8"/>
      <c r="K1805" s="8"/>
      <c r="T1805" s="8"/>
      <c r="AC1805" s="8"/>
    </row>
    <row r="1806" spans="2:29" ht="15" x14ac:dyDescent="0.2">
      <c r="B1806" s="8"/>
      <c r="K1806" s="8"/>
      <c r="T1806" s="8"/>
      <c r="AC1806" s="8"/>
    </row>
    <row r="1807" spans="2:29" ht="15" x14ac:dyDescent="0.2">
      <c r="B1807" s="8"/>
      <c r="K1807" s="8"/>
      <c r="T1807" s="8"/>
      <c r="AC1807" s="8"/>
    </row>
    <row r="1808" spans="2:29" ht="15" x14ac:dyDescent="0.2">
      <c r="B1808" s="8"/>
      <c r="K1808" s="8"/>
      <c r="T1808" s="8"/>
      <c r="AC1808" s="8"/>
    </row>
    <row r="1809" spans="2:29" ht="15" x14ac:dyDescent="0.2">
      <c r="B1809" s="8"/>
      <c r="K1809" s="8"/>
      <c r="T1809" s="8"/>
      <c r="AC1809" s="8"/>
    </row>
    <row r="1810" spans="2:29" ht="15" x14ac:dyDescent="0.2">
      <c r="B1810" s="8"/>
      <c r="K1810" s="8"/>
      <c r="T1810" s="8"/>
      <c r="AC1810" s="8"/>
    </row>
    <row r="1811" spans="2:29" ht="15" x14ac:dyDescent="0.2">
      <c r="B1811" s="8"/>
      <c r="K1811" s="8"/>
      <c r="T1811" s="8"/>
      <c r="AC1811" s="8"/>
    </row>
    <row r="1812" spans="2:29" ht="15" x14ac:dyDescent="0.2">
      <c r="B1812" s="8"/>
      <c r="K1812" s="8"/>
      <c r="T1812" s="8"/>
      <c r="AC1812" s="8"/>
    </row>
    <row r="1813" spans="2:29" ht="15" x14ac:dyDescent="0.2">
      <c r="B1813" s="8"/>
      <c r="K1813" s="8"/>
      <c r="T1813" s="8"/>
      <c r="AC1813" s="8"/>
    </row>
    <row r="1814" spans="2:29" ht="15" x14ac:dyDescent="0.2">
      <c r="B1814" s="8"/>
      <c r="K1814" s="8"/>
      <c r="T1814" s="8"/>
      <c r="AC1814" s="8"/>
    </row>
    <row r="1815" spans="2:29" ht="15" x14ac:dyDescent="0.2">
      <c r="B1815" s="8"/>
      <c r="K1815" s="8"/>
      <c r="T1815" s="8"/>
      <c r="AC1815" s="8"/>
    </row>
    <row r="1816" spans="2:29" ht="15" x14ac:dyDescent="0.2">
      <c r="B1816" s="8"/>
      <c r="K1816" s="8"/>
      <c r="T1816" s="8"/>
      <c r="AC1816" s="8"/>
    </row>
    <row r="1817" spans="2:29" ht="15" x14ac:dyDescent="0.2">
      <c r="B1817" s="8"/>
      <c r="K1817" s="8"/>
      <c r="T1817" s="8"/>
      <c r="AC1817" s="8"/>
    </row>
    <row r="1818" spans="2:29" ht="15" x14ac:dyDescent="0.2">
      <c r="B1818" s="8"/>
      <c r="K1818" s="8"/>
      <c r="T1818" s="8"/>
      <c r="AC1818" s="8"/>
    </row>
    <row r="1819" spans="2:29" ht="15" x14ac:dyDescent="0.2">
      <c r="B1819" s="8"/>
      <c r="K1819" s="8"/>
      <c r="T1819" s="8"/>
      <c r="AC1819" s="8"/>
    </row>
    <row r="1820" spans="2:29" ht="15" x14ac:dyDescent="0.2">
      <c r="B1820" s="8"/>
      <c r="K1820" s="8"/>
      <c r="T1820" s="8"/>
      <c r="AC1820" s="8"/>
    </row>
    <row r="1821" spans="2:29" ht="15" x14ac:dyDescent="0.2">
      <c r="B1821" s="8"/>
      <c r="K1821" s="8"/>
      <c r="T1821" s="8"/>
      <c r="AC1821" s="8"/>
    </row>
    <row r="1822" spans="2:29" ht="15" x14ac:dyDescent="0.2">
      <c r="B1822" s="8"/>
      <c r="K1822" s="8"/>
      <c r="T1822" s="8"/>
      <c r="AC1822" s="8"/>
    </row>
    <row r="1823" spans="2:29" ht="15" x14ac:dyDescent="0.2">
      <c r="B1823" s="8"/>
      <c r="K1823" s="8"/>
      <c r="T1823" s="8"/>
      <c r="AC1823" s="8"/>
    </row>
    <row r="1824" spans="2:29" ht="15" x14ac:dyDescent="0.2">
      <c r="B1824" s="8"/>
      <c r="K1824" s="8"/>
      <c r="T1824" s="8"/>
      <c r="AC1824" s="8"/>
    </row>
    <row r="1825" spans="2:29" ht="15" x14ac:dyDescent="0.2">
      <c r="B1825" s="8"/>
      <c r="K1825" s="8"/>
      <c r="T1825" s="8"/>
      <c r="AC1825" s="8"/>
    </row>
    <row r="1826" spans="2:29" ht="15" x14ac:dyDescent="0.2">
      <c r="B1826" s="8"/>
      <c r="K1826" s="8"/>
      <c r="T1826" s="8"/>
      <c r="AC1826" s="8"/>
    </row>
    <row r="1827" spans="2:29" ht="15" x14ac:dyDescent="0.2">
      <c r="B1827" s="8"/>
      <c r="K1827" s="8"/>
      <c r="T1827" s="8"/>
      <c r="AC1827" s="8"/>
    </row>
    <row r="1828" spans="2:29" ht="15" x14ac:dyDescent="0.2">
      <c r="B1828" s="8"/>
      <c r="K1828" s="8"/>
      <c r="T1828" s="8"/>
      <c r="AC1828" s="8"/>
    </row>
    <row r="1829" spans="2:29" ht="15" x14ac:dyDescent="0.2">
      <c r="B1829" s="8"/>
      <c r="K1829" s="8"/>
      <c r="T1829" s="8"/>
      <c r="AC1829" s="8"/>
    </row>
    <row r="1830" spans="2:29" ht="15" x14ac:dyDescent="0.2">
      <c r="B1830" s="8"/>
      <c r="K1830" s="8"/>
      <c r="T1830" s="8"/>
      <c r="AC1830" s="8"/>
    </row>
    <row r="1831" spans="2:29" ht="15" x14ac:dyDescent="0.2">
      <c r="B1831" s="8"/>
      <c r="K1831" s="8"/>
      <c r="T1831" s="8"/>
      <c r="AC1831" s="8"/>
    </row>
    <row r="1832" spans="2:29" ht="15" x14ac:dyDescent="0.2">
      <c r="B1832" s="8"/>
      <c r="K1832" s="8"/>
      <c r="T1832" s="8"/>
      <c r="AC1832" s="8"/>
    </row>
    <row r="1833" spans="2:29" ht="15" x14ac:dyDescent="0.2">
      <c r="B1833" s="8"/>
      <c r="K1833" s="8"/>
      <c r="T1833" s="8"/>
      <c r="AC1833" s="8"/>
    </row>
    <row r="1834" spans="2:29" ht="15" x14ac:dyDescent="0.2">
      <c r="B1834" s="8"/>
      <c r="K1834" s="8"/>
      <c r="T1834" s="8"/>
      <c r="AC1834" s="8"/>
    </row>
    <row r="1835" spans="2:29" ht="15" x14ac:dyDescent="0.2">
      <c r="B1835" s="8"/>
      <c r="K1835" s="8"/>
      <c r="T1835" s="8"/>
      <c r="AC1835" s="8"/>
    </row>
    <row r="1836" spans="2:29" ht="15" x14ac:dyDescent="0.2">
      <c r="B1836" s="8"/>
      <c r="K1836" s="8"/>
      <c r="T1836" s="8"/>
      <c r="AC1836" s="8"/>
    </row>
    <row r="1837" spans="2:29" ht="15" x14ac:dyDescent="0.2">
      <c r="B1837" s="8"/>
      <c r="K1837" s="8"/>
      <c r="T1837" s="8"/>
      <c r="AC1837" s="8"/>
    </row>
    <row r="1838" spans="2:29" ht="15" x14ac:dyDescent="0.2">
      <c r="B1838" s="8"/>
      <c r="K1838" s="8"/>
      <c r="T1838" s="8"/>
      <c r="AC1838" s="8"/>
    </row>
    <row r="1839" spans="2:29" ht="15" x14ac:dyDescent="0.2">
      <c r="B1839" s="8"/>
      <c r="K1839" s="8"/>
      <c r="T1839" s="8"/>
      <c r="AC1839" s="8"/>
    </row>
    <row r="1840" spans="2:29" ht="15" x14ac:dyDescent="0.2">
      <c r="B1840" s="8"/>
      <c r="K1840" s="8"/>
      <c r="T1840" s="8"/>
      <c r="AC1840" s="8"/>
    </row>
    <row r="1841" spans="2:29" ht="15" x14ac:dyDescent="0.2">
      <c r="B1841" s="8"/>
      <c r="K1841" s="8"/>
      <c r="T1841" s="8"/>
      <c r="AC1841" s="8"/>
    </row>
    <row r="1842" spans="2:29" ht="15" x14ac:dyDescent="0.2">
      <c r="B1842" s="8"/>
      <c r="K1842" s="8"/>
      <c r="T1842" s="8"/>
      <c r="AC1842" s="8"/>
    </row>
    <row r="1843" spans="2:29" ht="15" x14ac:dyDescent="0.2">
      <c r="B1843" s="8"/>
      <c r="K1843" s="8"/>
      <c r="T1843" s="8"/>
      <c r="AC1843" s="8"/>
    </row>
    <row r="1844" spans="2:29" ht="15" x14ac:dyDescent="0.2">
      <c r="B1844" s="8"/>
      <c r="K1844" s="8"/>
      <c r="T1844" s="8"/>
      <c r="AC1844" s="8"/>
    </row>
    <row r="1845" spans="2:29" ht="15" x14ac:dyDescent="0.2">
      <c r="B1845" s="8"/>
      <c r="K1845" s="8"/>
      <c r="T1845" s="8"/>
      <c r="AC1845" s="8"/>
    </row>
    <row r="1846" spans="2:29" ht="15" x14ac:dyDescent="0.2">
      <c r="B1846" s="8"/>
      <c r="K1846" s="8"/>
      <c r="T1846" s="8"/>
      <c r="AC1846" s="8"/>
    </row>
    <row r="1847" spans="2:29" ht="15" x14ac:dyDescent="0.2">
      <c r="B1847" s="8"/>
      <c r="K1847" s="8"/>
      <c r="T1847" s="8"/>
      <c r="AC1847" s="8"/>
    </row>
    <row r="1848" spans="2:29" ht="15" x14ac:dyDescent="0.2">
      <c r="B1848" s="8"/>
      <c r="K1848" s="8"/>
      <c r="T1848" s="8"/>
      <c r="AC1848" s="8"/>
    </row>
    <row r="1849" spans="2:29" ht="15" x14ac:dyDescent="0.2">
      <c r="B1849" s="8"/>
      <c r="K1849" s="8"/>
      <c r="T1849" s="8"/>
      <c r="AC1849" s="8"/>
    </row>
    <row r="1850" spans="2:29" ht="15" x14ac:dyDescent="0.2">
      <c r="B1850" s="8"/>
      <c r="K1850" s="8"/>
      <c r="T1850" s="8"/>
      <c r="AC1850" s="8"/>
    </row>
    <row r="1851" spans="2:29" ht="15" x14ac:dyDescent="0.2">
      <c r="B1851" s="8"/>
      <c r="K1851" s="8"/>
      <c r="T1851" s="8"/>
      <c r="AC1851" s="8"/>
    </row>
    <row r="1852" spans="2:29" ht="15" x14ac:dyDescent="0.2">
      <c r="B1852" s="8"/>
      <c r="K1852" s="8"/>
      <c r="T1852" s="8"/>
      <c r="AC1852" s="8"/>
    </row>
    <row r="1853" spans="2:29" ht="15" x14ac:dyDescent="0.2">
      <c r="B1853" s="8"/>
      <c r="K1853" s="8"/>
      <c r="T1853" s="8"/>
      <c r="AC1853" s="8"/>
    </row>
    <row r="1854" spans="2:29" ht="15" x14ac:dyDescent="0.2">
      <c r="B1854" s="8"/>
      <c r="K1854" s="8"/>
      <c r="T1854" s="8"/>
      <c r="AC1854" s="8"/>
    </row>
    <row r="1855" spans="2:29" ht="15" x14ac:dyDescent="0.2">
      <c r="B1855" s="8"/>
      <c r="K1855" s="8"/>
      <c r="T1855" s="8"/>
      <c r="AC1855" s="8"/>
    </row>
    <row r="1856" spans="2:29" ht="15" x14ac:dyDescent="0.2">
      <c r="B1856" s="8"/>
      <c r="K1856" s="8"/>
      <c r="T1856" s="8"/>
      <c r="AC1856" s="8"/>
    </row>
    <row r="1857" spans="2:29" ht="15" x14ac:dyDescent="0.2">
      <c r="B1857" s="8"/>
      <c r="K1857" s="8"/>
      <c r="T1857" s="8"/>
      <c r="AC1857" s="8"/>
    </row>
    <row r="1858" spans="2:29" ht="15" x14ac:dyDescent="0.2">
      <c r="B1858" s="8"/>
      <c r="K1858" s="8"/>
      <c r="T1858" s="8"/>
      <c r="AC1858" s="8"/>
    </row>
    <row r="1859" spans="2:29" ht="15" x14ac:dyDescent="0.2">
      <c r="B1859" s="8"/>
      <c r="K1859" s="8"/>
      <c r="T1859" s="8"/>
      <c r="AC1859" s="8"/>
    </row>
    <row r="1860" spans="2:29" ht="15" x14ac:dyDescent="0.2">
      <c r="B1860" s="8"/>
      <c r="K1860" s="8"/>
      <c r="T1860" s="8"/>
      <c r="AC1860" s="8"/>
    </row>
    <row r="1861" spans="2:29" ht="15" x14ac:dyDescent="0.2">
      <c r="B1861" s="8"/>
      <c r="K1861" s="8"/>
      <c r="T1861" s="8"/>
      <c r="AC1861" s="8"/>
    </row>
    <row r="1862" spans="2:29" ht="15" x14ac:dyDescent="0.2">
      <c r="B1862" s="8"/>
      <c r="K1862" s="8"/>
      <c r="T1862" s="8"/>
      <c r="AC1862" s="8"/>
    </row>
    <row r="1863" spans="2:29" ht="15" x14ac:dyDescent="0.2">
      <c r="B1863" s="8"/>
      <c r="K1863" s="8"/>
      <c r="T1863" s="8"/>
      <c r="AC1863" s="8"/>
    </row>
    <row r="1864" spans="2:29" ht="15" x14ac:dyDescent="0.2">
      <c r="B1864" s="8"/>
      <c r="K1864" s="8"/>
      <c r="T1864" s="8"/>
      <c r="AC1864" s="8"/>
    </row>
    <row r="1865" spans="2:29" ht="15" x14ac:dyDescent="0.2">
      <c r="B1865" s="8"/>
      <c r="K1865" s="8"/>
      <c r="T1865" s="8"/>
      <c r="AC1865" s="8"/>
    </row>
    <row r="1866" spans="2:29" ht="15" x14ac:dyDescent="0.2">
      <c r="B1866" s="8"/>
      <c r="K1866" s="8"/>
      <c r="T1866" s="8"/>
      <c r="AC1866" s="8"/>
    </row>
    <row r="1867" spans="2:29" ht="15" x14ac:dyDescent="0.2">
      <c r="B1867" s="8"/>
      <c r="K1867" s="8"/>
      <c r="T1867" s="8"/>
      <c r="AC1867" s="8"/>
    </row>
    <row r="1868" spans="2:29" ht="15" x14ac:dyDescent="0.2">
      <c r="B1868" s="8"/>
      <c r="K1868" s="8"/>
      <c r="T1868" s="8"/>
      <c r="AC1868" s="8"/>
    </row>
    <row r="1869" spans="2:29" ht="15" x14ac:dyDescent="0.2">
      <c r="B1869" s="8"/>
      <c r="K1869" s="8"/>
      <c r="T1869" s="8"/>
      <c r="AC1869" s="8"/>
    </row>
    <row r="1870" spans="2:29" ht="15" x14ac:dyDescent="0.2">
      <c r="B1870" s="8"/>
      <c r="K1870" s="8"/>
      <c r="T1870" s="8"/>
      <c r="AC1870" s="8"/>
    </row>
    <row r="1871" spans="2:29" ht="15" x14ac:dyDescent="0.2">
      <c r="B1871" s="8"/>
      <c r="K1871" s="8"/>
      <c r="T1871" s="8"/>
      <c r="AC1871" s="8"/>
    </row>
    <row r="1872" spans="2:29" ht="15" x14ac:dyDescent="0.2">
      <c r="B1872" s="8"/>
      <c r="K1872" s="8"/>
      <c r="T1872" s="8"/>
      <c r="AC1872" s="8"/>
    </row>
    <row r="1873" spans="2:29" ht="15" x14ac:dyDescent="0.2">
      <c r="B1873" s="8"/>
      <c r="K1873" s="8"/>
      <c r="T1873" s="8"/>
      <c r="AC1873" s="8"/>
    </row>
    <row r="1874" spans="2:29" ht="15" x14ac:dyDescent="0.2">
      <c r="B1874" s="8"/>
      <c r="K1874" s="8"/>
      <c r="T1874" s="8"/>
      <c r="AC1874" s="8"/>
    </row>
    <row r="1875" spans="2:29" ht="15" x14ac:dyDescent="0.2">
      <c r="B1875" s="8"/>
      <c r="K1875" s="8"/>
      <c r="T1875" s="8"/>
      <c r="AC1875" s="8"/>
    </row>
    <row r="1876" spans="2:29" ht="15" x14ac:dyDescent="0.2">
      <c r="B1876" s="8"/>
      <c r="K1876" s="8"/>
      <c r="T1876" s="8"/>
      <c r="AC1876" s="8"/>
    </row>
    <row r="1877" spans="2:29" ht="15" x14ac:dyDescent="0.2">
      <c r="B1877" s="8"/>
      <c r="K1877" s="8"/>
      <c r="T1877" s="8"/>
      <c r="AC1877" s="8"/>
    </row>
    <row r="1878" spans="2:29" ht="15" x14ac:dyDescent="0.2">
      <c r="B1878" s="8"/>
      <c r="K1878" s="8"/>
      <c r="T1878" s="8"/>
      <c r="AC1878" s="8"/>
    </row>
    <row r="1879" spans="2:29" ht="15" x14ac:dyDescent="0.2">
      <c r="B1879" s="8"/>
      <c r="K1879" s="8"/>
      <c r="T1879" s="8"/>
      <c r="AC1879" s="8"/>
    </row>
    <row r="1880" spans="2:29" ht="15" x14ac:dyDescent="0.2">
      <c r="B1880" s="8"/>
      <c r="K1880" s="8"/>
      <c r="T1880" s="8"/>
      <c r="AC1880" s="8"/>
    </row>
    <row r="1881" spans="2:29" ht="15" x14ac:dyDescent="0.2">
      <c r="B1881" s="8"/>
      <c r="K1881" s="8"/>
      <c r="T1881" s="8"/>
      <c r="AC1881" s="8"/>
    </row>
    <row r="1882" spans="2:29" ht="15" x14ac:dyDescent="0.2">
      <c r="B1882" s="8"/>
      <c r="K1882" s="8"/>
      <c r="T1882" s="8"/>
      <c r="AC1882" s="8"/>
    </row>
    <row r="1883" spans="2:29" ht="15" x14ac:dyDescent="0.2">
      <c r="B1883" s="8"/>
      <c r="K1883" s="8"/>
      <c r="T1883" s="8"/>
      <c r="AC1883" s="8"/>
    </row>
    <row r="1884" spans="2:29" ht="15" x14ac:dyDescent="0.2">
      <c r="B1884" s="8"/>
      <c r="K1884" s="8"/>
      <c r="T1884" s="8"/>
      <c r="AC1884" s="8"/>
    </row>
    <row r="1885" spans="2:29" ht="15" x14ac:dyDescent="0.2">
      <c r="B1885" s="8"/>
      <c r="K1885" s="8"/>
      <c r="T1885" s="8"/>
      <c r="AC1885" s="8"/>
    </row>
    <row r="1886" spans="2:29" ht="15" x14ac:dyDescent="0.2">
      <c r="B1886" s="8"/>
      <c r="K1886" s="8"/>
      <c r="T1886" s="8"/>
      <c r="AC1886" s="8"/>
    </row>
    <row r="1887" spans="2:29" ht="15" x14ac:dyDescent="0.2">
      <c r="B1887" s="8"/>
      <c r="K1887" s="8"/>
      <c r="T1887" s="8"/>
      <c r="AC1887" s="8"/>
    </row>
    <row r="1888" spans="2:29" ht="15" x14ac:dyDescent="0.2">
      <c r="B1888" s="8"/>
      <c r="K1888" s="8"/>
      <c r="T1888" s="8"/>
      <c r="AC1888" s="8"/>
    </row>
    <row r="1889" spans="2:29" ht="15" x14ac:dyDescent="0.2">
      <c r="B1889" s="8"/>
      <c r="K1889" s="8"/>
      <c r="T1889" s="8"/>
      <c r="AC1889" s="8"/>
    </row>
    <row r="1890" spans="2:29" ht="15" x14ac:dyDescent="0.2">
      <c r="B1890" s="8"/>
      <c r="K1890" s="8"/>
      <c r="T1890" s="8"/>
      <c r="AC1890" s="8"/>
    </row>
    <row r="1891" spans="2:29" ht="15" x14ac:dyDescent="0.2">
      <c r="B1891" s="8"/>
      <c r="K1891" s="8"/>
      <c r="T1891" s="8"/>
      <c r="AC1891" s="8"/>
    </row>
    <row r="1892" spans="2:29" ht="15" x14ac:dyDescent="0.2">
      <c r="B1892" s="8"/>
      <c r="K1892" s="8"/>
      <c r="T1892" s="8"/>
      <c r="AC1892" s="8"/>
    </row>
    <row r="1893" spans="2:29" ht="15" x14ac:dyDescent="0.2">
      <c r="B1893" s="8"/>
      <c r="K1893" s="8"/>
      <c r="T1893" s="8"/>
      <c r="AC1893" s="8"/>
    </row>
    <row r="1894" spans="2:29" ht="15" x14ac:dyDescent="0.2">
      <c r="B1894" s="8"/>
      <c r="K1894" s="8"/>
      <c r="T1894" s="8"/>
      <c r="AC1894" s="8"/>
    </row>
    <row r="1895" spans="2:29" ht="15" x14ac:dyDescent="0.2">
      <c r="B1895" s="8"/>
      <c r="K1895" s="8"/>
      <c r="T1895" s="8"/>
      <c r="AC1895" s="8"/>
    </row>
    <row r="1896" spans="2:29" ht="15" x14ac:dyDescent="0.2">
      <c r="B1896" s="8"/>
      <c r="K1896" s="8"/>
      <c r="T1896" s="8"/>
      <c r="AC1896" s="8"/>
    </row>
    <row r="1897" spans="2:29" ht="15" x14ac:dyDescent="0.2">
      <c r="B1897" s="8"/>
      <c r="K1897" s="8"/>
      <c r="T1897" s="8"/>
      <c r="AC1897" s="8"/>
    </row>
    <row r="1898" spans="2:29" ht="15" x14ac:dyDescent="0.2">
      <c r="B1898" s="8"/>
      <c r="K1898" s="8"/>
      <c r="T1898" s="8"/>
      <c r="AC1898" s="8"/>
    </row>
    <row r="1899" spans="2:29" ht="15" x14ac:dyDescent="0.2">
      <c r="B1899" s="8"/>
      <c r="K1899" s="8"/>
      <c r="T1899" s="8"/>
      <c r="AC1899" s="8"/>
    </row>
    <row r="1900" spans="2:29" ht="15" x14ac:dyDescent="0.2">
      <c r="B1900" s="8"/>
      <c r="K1900" s="8"/>
      <c r="T1900" s="8"/>
      <c r="AC1900" s="8"/>
    </row>
    <row r="1901" spans="2:29" ht="15" x14ac:dyDescent="0.2">
      <c r="B1901" s="8"/>
      <c r="K1901" s="8"/>
      <c r="T1901" s="8"/>
      <c r="AC1901" s="8"/>
    </row>
    <row r="1902" spans="2:29" ht="15" x14ac:dyDescent="0.2">
      <c r="B1902" s="8"/>
      <c r="K1902" s="8"/>
      <c r="T1902" s="8"/>
      <c r="AC1902" s="8"/>
    </row>
    <row r="1903" spans="2:29" ht="15" x14ac:dyDescent="0.2">
      <c r="B1903" s="8"/>
      <c r="K1903" s="8"/>
      <c r="T1903" s="8"/>
      <c r="AC1903" s="8"/>
    </row>
    <row r="1904" spans="2:29" ht="15" x14ac:dyDescent="0.2">
      <c r="B1904" s="8"/>
      <c r="K1904" s="8"/>
      <c r="T1904" s="8"/>
      <c r="AC1904" s="8"/>
    </row>
    <row r="1905" spans="2:29" ht="15" x14ac:dyDescent="0.2">
      <c r="B1905" s="8"/>
      <c r="K1905" s="8"/>
      <c r="T1905" s="8"/>
      <c r="AC1905" s="8"/>
    </row>
    <row r="1906" spans="2:29" ht="15" x14ac:dyDescent="0.2">
      <c r="B1906" s="8"/>
      <c r="K1906" s="8"/>
      <c r="T1906" s="8"/>
      <c r="AC1906" s="8"/>
    </row>
    <row r="1907" spans="2:29" ht="15" x14ac:dyDescent="0.2">
      <c r="B1907" s="8"/>
      <c r="K1907" s="8"/>
      <c r="T1907" s="8"/>
      <c r="AC1907" s="8"/>
    </row>
    <row r="1908" spans="2:29" ht="15" x14ac:dyDescent="0.2">
      <c r="B1908" s="8"/>
      <c r="K1908" s="8"/>
      <c r="T1908" s="8"/>
      <c r="AC1908" s="8"/>
    </row>
    <row r="1909" spans="2:29" ht="15" x14ac:dyDescent="0.2">
      <c r="B1909" s="8"/>
      <c r="K1909" s="8"/>
      <c r="T1909" s="8"/>
      <c r="AC1909" s="8"/>
    </row>
    <row r="1910" spans="2:29" ht="15" x14ac:dyDescent="0.2">
      <c r="B1910" s="8"/>
      <c r="K1910" s="8"/>
      <c r="T1910" s="8"/>
      <c r="AC1910" s="8"/>
    </row>
    <row r="1911" spans="2:29" ht="15" x14ac:dyDescent="0.2">
      <c r="B1911" s="8"/>
      <c r="K1911" s="8"/>
      <c r="T1911" s="8"/>
      <c r="AC1911" s="8"/>
    </row>
    <row r="1912" spans="2:29" ht="15" x14ac:dyDescent="0.2">
      <c r="B1912" s="8"/>
      <c r="K1912" s="8"/>
      <c r="T1912" s="8"/>
      <c r="AC1912" s="8"/>
    </row>
    <row r="1913" spans="2:29" ht="15" x14ac:dyDescent="0.2">
      <c r="B1913" s="8"/>
      <c r="K1913" s="8"/>
      <c r="T1913" s="8"/>
      <c r="AC1913" s="8"/>
    </row>
    <row r="1914" spans="2:29" ht="15" x14ac:dyDescent="0.2">
      <c r="B1914" s="8"/>
      <c r="K1914" s="8"/>
      <c r="T1914" s="8"/>
      <c r="AC1914" s="8"/>
    </row>
    <row r="1915" spans="2:29" ht="15" x14ac:dyDescent="0.2">
      <c r="B1915" s="8"/>
      <c r="K1915" s="8"/>
      <c r="T1915" s="8"/>
      <c r="AC1915" s="8"/>
    </row>
    <row r="1916" spans="2:29" ht="15" x14ac:dyDescent="0.2">
      <c r="B1916" s="8"/>
      <c r="K1916" s="8"/>
      <c r="T1916" s="8"/>
      <c r="AC1916" s="8"/>
    </row>
    <row r="1917" spans="2:29" ht="15" x14ac:dyDescent="0.2">
      <c r="B1917" s="8"/>
      <c r="K1917" s="8"/>
      <c r="T1917" s="8"/>
      <c r="AC1917" s="8"/>
    </row>
    <row r="1918" spans="2:29" ht="15" x14ac:dyDescent="0.2">
      <c r="B1918" s="8"/>
      <c r="K1918" s="8"/>
      <c r="T1918" s="8"/>
      <c r="AC1918" s="8"/>
    </row>
    <row r="1919" spans="2:29" ht="15" x14ac:dyDescent="0.2">
      <c r="B1919" s="8"/>
      <c r="K1919" s="8"/>
      <c r="T1919" s="8"/>
      <c r="AC1919" s="8"/>
    </row>
    <row r="1920" spans="2:29" ht="15" x14ac:dyDescent="0.2">
      <c r="B1920" s="8"/>
      <c r="K1920" s="8"/>
      <c r="T1920" s="8"/>
      <c r="AC1920" s="8"/>
    </row>
    <row r="1921" spans="2:29" ht="15" x14ac:dyDescent="0.2">
      <c r="B1921" s="8"/>
      <c r="K1921" s="8"/>
      <c r="T1921" s="8"/>
      <c r="AC1921" s="8"/>
    </row>
    <row r="1922" spans="2:29" ht="15" x14ac:dyDescent="0.2">
      <c r="B1922" s="8"/>
      <c r="K1922" s="8"/>
      <c r="T1922" s="8"/>
      <c r="AC1922" s="8"/>
    </row>
    <row r="1923" spans="2:29" ht="15" x14ac:dyDescent="0.2">
      <c r="B1923" s="8"/>
      <c r="K1923" s="8"/>
      <c r="T1923" s="8"/>
      <c r="AC1923" s="8"/>
    </row>
    <row r="1924" spans="2:29" ht="15" x14ac:dyDescent="0.2">
      <c r="B1924" s="8"/>
      <c r="K1924" s="8"/>
      <c r="T1924" s="8"/>
      <c r="AC1924" s="8"/>
    </row>
    <row r="1925" spans="2:29" ht="15" x14ac:dyDescent="0.2">
      <c r="B1925" s="8"/>
      <c r="K1925" s="8"/>
      <c r="T1925" s="8"/>
      <c r="AC1925" s="8"/>
    </row>
    <row r="1926" spans="2:29" ht="15" x14ac:dyDescent="0.2">
      <c r="B1926" s="8"/>
      <c r="K1926" s="8"/>
      <c r="T1926" s="8"/>
      <c r="AC1926" s="8"/>
    </row>
    <row r="1927" spans="2:29" ht="15" x14ac:dyDescent="0.2">
      <c r="B1927" s="8"/>
      <c r="K1927" s="8"/>
      <c r="T1927" s="8"/>
      <c r="AC1927" s="8"/>
    </row>
    <row r="1928" spans="2:29" ht="15" x14ac:dyDescent="0.2">
      <c r="B1928" s="8"/>
      <c r="K1928" s="8"/>
      <c r="T1928" s="8"/>
      <c r="AC1928" s="8"/>
    </row>
    <row r="1929" spans="2:29" ht="15" x14ac:dyDescent="0.2">
      <c r="B1929" s="8"/>
      <c r="K1929" s="8"/>
      <c r="T1929" s="8"/>
      <c r="AC1929" s="8"/>
    </row>
    <row r="1930" spans="2:29" ht="15" x14ac:dyDescent="0.2">
      <c r="B1930" s="8"/>
      <c r="K1930" s="8"/>
      <c r="T1930" s="8"/>
      <c r="AC1930" s="8"/>
    </row>
    <row r="1931" spans="2:29" ht="15" x14ac:dyDescent="0.2">
      <c r="B1931" s="8"/>
      <c r="K1931" s="8"/>
      <c r="T1931" s="8"/>
      <c r="AC1931" s="8"/>
    </row>
    <row r="1932" spans="2:29" ht="15" x14ac:dyDescent="0.2">
      <c r="B1932" s="8"/>
      <c r="K1932" s="8"/>
      <c r="T1932" s="8"/>
      <c r="AC1932" s="8"/>
    </row>
    <row r="1933" spans="2:29" ht="15" x14ac:dyDescent="0.2">
      <c r="B1933" s="8"/>
      <c r="K1933" s="8"/>
      <c r="T1933" s="8"/>
      <c r="AC1933" s="8"/>
    </row>
    <row r="1934" spans="2:29" ht="15" x14ac:dyDescent="0.2">
      <c r="B1934" s="8"/>
      <c r="K1934" s="8"/>
      <c r="T1934" s="8"/>
      <c r="AC1934" s="8"/>
    </row>
    <row r="1935" spans="2:29" ht="15" x14ac:dyDescent="0.2">
      <c r="B1935" s="8"/>
      <c r="K1935" s="8"/>
      <c r="T1935" s="8"/>
      <c r="AC1935" s="8"/>
    </row>
    <row r="1936" spans="2:29" ht="15" x14ac:dyDescent="0.2">
      <c r="B1936" s="8"/>
      <c r="K1936" s="8"/>
      <c r="T1936" s="8"/>
      <c r="AC1936" s="8"/>
    </row>
    <row r="1937" spans="2:29" ht="15" x14ac:dyDescent="0.2">
      <c r="B1937" s="8"/>
      <c r="K1937" s="8"/>
      <c r="T1937" s="8"/>
      <c r="AC1937" s="8"/>
    </row>
    <row r="1938" spans="2:29" ht="15" x14ac:dyDescent="0.2">
      <c r="B1938" s="8"/>
      <c r="K1938" s="8"/>
      <c r="T1938" s="8"/>
      <c r="AC1938" s="8"/>
    </row>
    <row r="1939" spans="2:29" ht="15" x14ac:dyDescent="0.2">
      <c r="B1939" s="8"/>
      <c r="K1939" s="8"/>
      <c r="T1939" s="8"/>
      <c r="AC1939" s="8"/>
    </row>
    <row r="1940" spans="2:29" ht="15" x14ac:dyDescent="0.2">
      <c r="B1940" s="8"/>
      <c r="K1940" s="8"/>
      <c r="T1940" s="8"/>
      <c r="AC1940" s="8"/>
    </row>
    <row r="1941" spans="2:29" ht="15" x14ac:dyDescent="0.2">
      <c r="B1941" s="8"/>
      <c r="K1941" s="8"/>
      <c r="T1941" s="8"/>
      <c r="AC1941" s="8"/>
    </row>
    <row r="1942" spans="2:29" ht="15" x14ac:dyDescent="0.2">
      <c r="B1942" s="8"/>
      <c r="K1942" s="8"/>
      <c r="T1942" s="8"/>
      <c r="AC1942" s="8"/>
    </row>
    <row r="1943" spans="2:29" ht="15" x14ac:dyDescent="0.2">
      <c r="B1943" s="8"/>
      <c r="K1943" s="8"/>
      <c r="T1943" s="8"/>
      <c r="AC1943" s="8"/>
    </row>
    <row r="1944" spans="2:29" ht="15" x14ac:dyDescent="0.2">
      <c r="B1944" s="8"/>
      <c r="K1944" s="8"/>
      <c r="T1944" s="8"/>
      <c r="AC1944" s="8"/>
    </row>
    <row r="1945" spans="2:29" ht="15" x14ac:dyDescent="0.2">
      <c r="B1945" s="8"/>
      <c r="K1945" s="8"/>
      <c r="T1945" s="8"/>
      <c r="AC1945" s="8"/>
    </row>
    <row r="1946" spans="2:29" ht="15" x14ac:dyDescent="0.2">
      <c r="B1946" s="8"/>
      <c r="K1946" s="8"/>
      <c r="T1946" s="8"/>
      <c r="AC1946" s="8"/>
    </row>
    <row r="1947" spans="2:29" ht="15" x14ac:dyDescent="0.2">
      <c r="B1947" s="8"/>
      <c r="K1947" s="8"/>
      <c r="T1947" s="8"/>
      <c r="AC1947" s="8"/>
    </row>
    <row r="1948" spans="2:29" ht="15" x14ac:dyDescent="0.2">
      <c r="B1948" s="8"/>
      <c r="K1948" s="8"/>
      <c r="T1948" s="8"/>
      <c r="AC1948" s="8"/>
    </row>
    <row r="1949" spans="2:29" ht="15" x14ac:dyDescent="0.2">
      <c r="B1949" s="8"/>
      <c r="K1949" s="8"/>
      <c r="T1949" s="8"/>
      <c r="AC1949" s="8"/>
    </row>
    <row r="1950" spans="2:29" ht="15" x14ac:dyDescent="0.2">
      <c r="B1950" s="8"/>
      <c r="K1950" s="8"/>
      <c r="T1950" s="8"/>
      <c r="AC1950" s="8"/>
    </row>
    <row r="1951" spans="2:29" ht="15" x14ac:dyDescent="0.2">
      <c r="B1951" s="8"/>
      <c r="K1951" s="8"/>
      <c r="T1951" s="8"/>
      <c r="AC1951" s="8"/>
    </row>
    <row r="1952" spans="2:29" ht="15" x14ac:dyDescent="0.2">
      <c r="B1952" s="8"/>
      <c r="K1952" s="8"/>
      <c r="T1952" s="8"/>
      <c r="AC1952" s="8"/>
    </row>
    <row r="1953" spans="2:29" ht="15" x14ac:dyDescent="0.2">
      <c r="B1953" s="8"/>
      <c r="K1953" s="8"/>
      <c r="T1953" s="8"/>
      <c r="AC1953" s="8"/>
    </row>
    <row r="1954" spans="2:29" ht="15" x14ac:dyDescent="0.2">
      <c r="B1954" s="8"/>
      <c r="K1954" s="8"/>
      <c r="T1954" s="8"/>
      <c r="AC1954" s="8"/>
    </row>
    <row r="1955" spans="2:29" ht="15" x14ac:dyDescent="0.2">
      <c r="B1955" s="8"/>
      <c r="K1955" s="8"/>
      <c r="T1955" s="8"/>
      <c r="AC1955" s="8"/>
    </row>
    <row r="1956" spans="2:29" ht="15" x14ac:dyDescent="0.2">
      <c r="B1956" s="8"/>
      <c r="K1956" s="8"/>
      <c r="T1956" s="8"/>
      <c r="AC1956" s="8"/>
    </row>
    <row r="1957" spans="2:29" ht="15" x14ac:dyDescent="0.2">
      <c r="B1957" s="8"/>
      <c r="K1957" s="8"/>
      <c r="T1957" s="8"/>
      <c r="AC1957" s="8"/>
    </row>
    <row r="1958" spans="2:29" ht="15" x14ac:dyDescent="0.2">
      <c r="B1958" s="8"/>
      <c r="K1958" s="8"/>
      <c r="T1958" s="8"/>
      <c r="AC1958" s="8"/>
    </row>
    <row r="1959" spans="2:29" ht="15" x14ac:dyDescent="0.2">
      <c r="B1959" s="8"/>
      <c r="K1959" s="8"/>
      <c r="T1959" s="8"/>
      <c r="AC1959" s="8"/>
    </row>
    <row r="1960" spans="2:29" ht="15" x14ac:dyDescent="0.2">
      <c r="B1960" s="8"/>
      <c r="K1960" s="8"/>
      <c r="T1960" s="8"/>
      <c r="AC1960" s="8"/>
    </row>
    <row r="1961" spans="2:29" ht="15" x14ac:dyDescent="0.2">
      <c r="B1961" s="8"/>
      <c r="K1961" s="8"/>
      <c r="T1961" s="8"/>
      <c r="AC1961" s="8"/>
    </row>
    <row r="1962" spans="2:29" ht="15" x14ac:dyDescent="0.2">
      <c r="B1962" s="8"/>
      <c r="K1962" s="8"/>
      <c r="T1962" s="8"/>
      <c r="AC1962" s="8"/>
    </row>
    <row r="1963" spans="2:29" ht="15" x14ac:dyDescent="0.2">
      <c r="B1963" s="8"/>
      <c r="K1963" s="8"/>
      <c r="T1963" s="8"/>
      <c r="AC1963" s="8"/>
    </row>
    <row r="1964" spans="2:29" ht="15" x14ac:dyDescent="0.2">
      <c r="B1964" s="8"/>
      <c r="K1964" s="8"/>
      <c r="T1964" s="8"/>
      <c r="AC1964" s="8"/>
    </row>
    <row r="1965" spans="2:29" ht="15" x14ac:dyDescent="0.2">
      <c r="B1965" s="8"/>
      <c r="K1965" s="8"/>
      <c r="T1965" s="8"/>
      <c r="AC1965" s="8"/>
    </row>
    <row r="1966" spans="2:29" ht="15" x14ac:dyDescent="0.2">
      <c r="B1966" s="8"/>
      <c r="K1966" s="8"/>
      <c r="T1966" s="8"/>
      <c r="AC1966" s="8"/>
    </row>
    <row r="1967" spans="2:29" ht="15" x14ac:dyDescent="0.2">
      <c r="B1967" s="8"/>
      <c r="K1967" s="8"/>
      <c r="T1967" s="8"/>
      <c r="AC1967" s="8"/>
    </row>
    <row r="1968" spans="2:29" ht="15" x14ac:dyDescent="0.2">
      <c r="B1968" s="8"/>
      <c r="K1968" s="8"/>
      <c r="T1968" s="8"/>
      <c r="AC1968" s="8"/>
    </row>
    <row r="1969" spans="2:29" ht="15" x14ac:dyDescent="0.2">
      <c r="B1969" s="8"/>
      <c r="K1969" s="8"/>
      <c r="T1969" s="8"/>
      <c r="AC1969" s="8"/>
    </row>
    <row r="1970" spans="2:29" ht="15" x14ac:dyDescent="0.2">
      <c r="B1970" s="8"/>
      <c r="K1970" s="8"/>
      <c r="T1970" s="8"/>
      <c r="AC1970" s="8"/>
    </row>
    <row r="1971" spans="2:29" ht="15" x14ac:dyDescent="0.2">
      <c r="B1971" s="8"/>
      <c r="K1971" s="8"/>
      <c r="T1971" s="8"/>
      <c r="AC1971" s="8"/>
    </row>
    <row r="1972" spans="2:29" ht="15" x14ac:dyDescent="0.2">
      <c r="B1972" s="8"/>
      <c r="K1972" s="8"/>
      <c r="T1972" s="8"/>
      <c r="AC1972" s="8"/>
    </row>
    <row r="1973" spans="2:29" ht="15" x14ac:dyDescent="0.2">
      <c r="B1973" s="8"/>
      <c r="K1973" s="8"/>
      <c r="T1973" s="8"/>
      <c r="AC1973" s="8"/>
    </row>
    <row r="1974" spans="2:29" ht="15" x14ac:dyDescent="0.2">
      <c r="B1974" s="8"/>
      <c r="K1974" s="8"/>
      <c r="T1974" s="8"/>
      <c r="AC1974" s="8"/>
    </row>
    <row r="1975" spans="2:29" ht="15" x14ac:dyDescent="0.2">
      <c r="B1975" s="8"/>
      <c r="K1975" s="8"/>
      <c r="T1975" s="8"/>
      <c r="AC1975" s="8"/>
    </row>
    <row r="1976" spans="2:29" ht="15" x14ac:dyDescent="0.2">
      <c r="B1976" s="8"/>
      <c r="K1976" s="8"/>
      <c r="T1976" s="8"/>
      <c r="AC1976" s="8"/>
    </row>
    <row r="1977" spans="2:29" ht="15" x14ac:dyDescent="0.2">
      <c r="B1977" s="8"/>
      <c r="K1977" s="8"/>
      <c r="T1977" s="8"/>
      <c r="AC1977" s="8"/>
    </row>
    <row r="1978" spans="2:29" ht="15" x14ac:dyDescent="0.2">
      <c r="B1978" s="8"/>
      <c r="K1978" s="8"/>
      <c r="T1978" s="8"/>
      <c r="AC1978" s="8"/>
    </row>
    <row r="1979" spans="2:29" ht="15" x14ac:dyDescent="0.2">
      <c r="B1979" s="8"/>
      <c r="K1979" s="8"/>
      <c r="T1979" s="8"/>
      <c r="AC1979" s="8"/>
    </row>
    <row r="1980" spans="2:29" ht="15" x14ac:dyDescent="0.2">
      <c r="B1980" s="8"/>
      <c r="K1980" s="8"/>
      <c r="T1980" s="8"/>
      <c r="AC1980" s="8"/>
    </row>
    <row r="1981" spans="2:29" ht="15" x14ac:dyDescent="0.2">
      <c r="B1981" s="8"/>
      <c r="K1981" s="8"/>
      <c r="T1981" s="8"/>
      <c r="AC1981" s="8"/>
    </row>
    <row r="1982" spans="2:29" ht="15" x14ac:dyDescent="0.2">
      <c r="B1982" s="8"/>
      <c r="K1982" s="8"/>
      <c r="T1982" s="8"/>
      <c r="AC1982" s="8"/>
    </row>
    <row r="1983" spans="2:29" ht="15" x14ac:dyDescent="0.2">
      <c r="B1983" s="8"/>
      <c r="K1983" s="8"/>
      <c r="T1983" s="8"/>
      <c r="AC1983" s="8"/>
    </row>
    <row r="1984" spans="2:29" ht="15" x14ac:dyDescent="0.2">
      <c r="B1984" s="8"/>
      <c r="K1984" s="8"/>
      <c r="T1984" s="8"/>
      <c r="AC1984" s="8"/>
    </row>
    <row r="1985" spans="2:29" ht="15" x14ac:dyDescent="0.2">
      <c r="B1985" s="8"/>
      <c r="K1985" s="8"/>
      <c r="T1985" s="8"/>
      <c r="AC1985" s="8"/>
    </row>
    <row r="1986" spans="2:29" ht="15" x14ac:dyDescent="0.2">
      <c r="B1986" s="8"/>
      <c r="K1986" s="8"/>
      <c r="T1986" s="8"/>
      <c r="AC1986" s="8"/>
    </row>
    <row r="1987" spans="2:29" ht="15" x14ac:dyDescent="0.2">
      <c r="B1987" s="8"/>
      <c r="K1987" s="8"/>
      <c r="T1987" s="8"/>
      <c r="AC1987" s="8"/>
    </row>
    <row r="1988" spans="2:29" ht="15" x14ac:dyDescent="0.2">
      <c r="B1988" s="8"/>
      <c r="K1988" s="8"/>
      <c r="T1988" s="8"/>
      <c r="AC1988" s="8"/>
    </row>
    <row r="1989" spans="2:29" ht="15" x14ac:dyDescent="0.2">
      <c r="B1989" s="8"/>
      <c r="K1989" s="8"/>
      <c r="T1989" s="8"/>
      <c r="AC1989" s="8"/>
    </row>
    <row r="1990" spans="2:29" ht="15" x14ac:dyDescent="0.2">
      <c r="B1990" s="8"/>
      <c r="K1990" s="8"/>
      <c r="T1990" s="8"/>
      <c r="AC1990" s="8"/>
    </row>
    <row r="1991" spans="2:29" ht="15" x14ac:dyDescent="0.2">
      <c r="B1991" s="8"/>
      <c r="K1991" s="8"/>
      <c r="T1991" s="8"/>
      <c r="AC1991" s="8"/>
    </row>
    <row r="1992" spans="2:29" ht="15" x14ac:dyDescent="0.2">
      <c r="B1992" s="8"/>
      <c r="K1992" s="8"/>
      <c r="T1992" s="8"/>
      <c r="AC1992" s="8"/>
    </row>
    <row r="1993" spans="2:29" ht="15" x14ac:dyDescent="0.2">
      <c r="B1993" s="8"/>
      <c r="K1993" s="8"/>
      <c r="T1993" s="8"/>
      <c r="AC1993" s="8"/>
    </row>
    <row r="1994" spans="2:29" ht="15" x14ac:dyDescent="0.2">
      <c r="B1994" s="8"/>
      <c r="K1994" s="8"/>
      <c r="T1994" s="8"/>
      <c r="AC1994" s="8"/>
    </row>
    <row r="1995" spans="2:29" ht="15" x14ac:dyDescent="0.2">
      <c r="B1995" s="8"/>
      <c r="K1995" s="8"/>
      <c r="T1995" s="8"/>
      <c r="AC1995" s="8"/>
    </row>
    <row r="1996" spans="2:29" ht="15" x14ac:dyDescent="0.2">
      <c r="B1996" s="8"/>
      <c r="K1996" s="8"/>
      <c r="T1996" s="8"/>
      <c r="AC1996" s="8"/>
    </row>
    <row r="1997" spans="2:29" ht="15" x14ac:dyDescent="0.2">
      <c r="B1997" s="8"/>
      <c r="K1997" s="8"/>
      <c r="T1997" s="8"/>
      <c r="AC1997" s="8"/>
    </row>
    <row r="1998" spans="2:29" ht="15" x14ac:dyDescent="0.2">
      <c r="B1998" s="8"/>
      <c r="K1998" s="8"/>
      <c r="T1998" s="8"/>
      <c r="AC1998" s="8"/>
    </row>
    <row r="1999" spans="2:29" ht="15" x14ac:dyDescent="0.2">
      <c r="B1999" s="8"/>
      <c r="K1999" s="8"/>
      <c r="T1999" s="8"/>
      <c r="AC1999" s="8"/>
    </row>
    <row r="2000" spans="2:29" ht="15" x14ac:dyDescent="0.2">
      <c r="B2000" s="8"/>
      <c r="K2000" s="8"/>
      <c r="T2000" s="8"/>
      <c r="AC2000" s="8"/>
    </row>
    <row r="2001" spans="2:29" ht="15" x14ac:dyDescent="0.2">
      <c r="B2001" s="8"/>
      <c r="K2001" s="8"/>
      <c r="T2001" s="8"/>
      <c r="AC2001" s="8"/>
    </row>
    <row r="2002" spans="2:29" ht="15" x14ac:dyDescent="0.2">
      <c r="B2002" s="8"/>
      <c r="K2002" s="8"/>
      <c r="T2002" s="8"/>
      <c r="AC2002" s="8"/>
    </row>
    <row r="2003" spans="2:29" ht="15" x14ac:dyDescent="0.2">
      <c r="B2003" s="8"/>
      <c r="K2003" s="8"/>
      <c r="T2003" s="8"/>
      <c r="AC2003" s="8"/>
    </row>
    <row r="2004" spans="2:29" ht="15" x14ac:dyDescent="0.2">
      <c r="B2004" s="8"/>
      <c r="K2004" s="8"/>
      <c r="T2004" s="8"/>
      <c r="AC2004" s="8"/>
    </row>
    <row r="2005" spans="2:29" ht="15" x14ac:dyDescent="0.2">
      <c r="B2005" s="8"/>
      <c r="K2005" s="8"/>
      <c r="T2005" s="8"/>
      <c r="AC2005" s="8"/>
    </row>
    <row r="2006" spans="2:29" ht="15" x14ac:dyDescent="0.2">
      <c r="B2006" s="8"/>
      <c r="K2006" s="8"/>
      <c r="T2006" s="8"/>
      <c r="AC2006" s="8"/>
    </row>
    <row r="2007" spans="2:29" ht="15" x14ac:dyDescent="0.2">
      <c r="B2007" s="8"/>
      <c r="K2007" s="8"/>
      <c r="T2007" s="8"/>
      <c r="AC2007" s="8"/>
    </row>
    <row r="2008" spans="2:29" ht="15" x14ac:dyDescent="0.2">
      <c r="B2008" s="8"/>
      <c r="K2008" s="8"/>
      <c r="T2008" s="8"/>
      <c r="AC2008" s="8"/>
    </row>
    <row r="2009" spans="2:29" ht="15" x14ac:dyDescent="0.2">
      <c r="B2009" s="8"/>
      <c r="K2009" s="8"/>
      <c r="T2009" s="8"/>
      <c r="AC2009" s="8"/>
    </row>
    <row r="2010" spans="2:29" ht="15" x14ac:dyDescent="0.2">
      <c r="B2010" s="8"/>
      <c r="K2010" s="8"/>
      <c r="T2010" s="8"/>
      <c r="AC2010" s="8"/>
    </row>
    <row r="2011" spans="2:29" ht="15" x14ac:dyDescent="0.2">
      <c r="B2011" s="8"/>
      <c r="K2011" s="8"/>
      <c r="T2011" s="8"/>
      <c r="AC2011" s="8"/>
    </row>
    <row r="2012" spans="2:29" ht="15" x14ac:dyDescent="0.2">
      <c r="B2012" s="8"/>
      <c r="K2012" s="8"/>
      <c r="T2012" s="8"/>
      <c r="AC2012" s="8"/>
    </row>
    <row r="2013" spans="2:29" ht="15" x14ac:dyDescent="0.2">
      <c r="B2013" s="8"/>
      <c r="K2013" s="8"/>
      <c r="T2013" s="8"/>
      <c r="AC2013" s="8"/>
    </row>
    <row r="2014" spans="2:29" ht="15" x14ac:dyDescent="0.2">
      <c r="B2014" s="8"/>
      <c r="K2014" s="8"/>
      <c r="T2014" s="8"/>
      <c r="AC2014" s="8"/>
    </row>
    <row r="2015" spans="2:29" ht="15" x14ac:dyDescent="0.2">
      <c r="B2015" s="8"/>
      <c r="K2015" s="8"/>
      <c r="T2015" s="8"/>
      <c r="AC2015" s="8"/>
    </row>
    <row r="2016" spans="2:29" ht="15" x14ac:dyDescent="0.2">
      <c r="B2016" s="8"/>
      <c r="K2016" s="8"/>
      <c r="T2016" s="8"/>
      <c r="AC2016" s="8"/>
    </row>
    <row r="2017" spans="2:29" ht="15" x14ac:dyDescent="0.2">
      <c r="B2017" s="8"/>
      <c r="K2017" s="8"/>
      <c r="T2017" s="8"/>
      <c r="AC2017" s="8"/>
    </row>
    <row r="2018" spans="2:29" ht="15" x14ac:dyDescent="0.2">
      <c r="B2018" s="8"/>
      <c r="K2018" s="8"/>
      <c r="T2018" s="8"/>
      <c r="AC2018" s="8"/>
    </row>
    <row r="2019" spans="2:29" ht="15" x14ac:dyDescent="0.2">
      <c r="B2019" s="8"/>
      <c r="K2019" s="8"/>
      <c r="T2019" s="8"/>
      <c r="AC2019" s="8"/>
    </row>
    <row r="2020" spans="2:29" ht="15" x14ac:dyDescent="0.2">
      <c r="B2020" s="8"/>
      <c r="K2020" s="8"/>
      <c r="T2020" s="8"/>
      <c r="AC2020" s="8"/>
    </row>
    <row r="2021" spans="2:29" ht="15" x14ac:dyDescent="0.2">
      <c r="B2021" s="8"/>
      <c r="K2021" s="8"/>
      <c r="T2021" s="8"/>
      <c r="AC2021" s="8"/>
    </row>
    <row r="2022" spans="2:29" ht="15" x14ac:dyDescent="0.2">
      <c r="B2022" s="8"/>
      <c r="K2022" s="8"/>
      <c r="T2022" s="8"/>
      <c r="AC2022" s="8"/>
    </row>
    <row r="2023" spans="2:29" ht="15" x14ac:dyDescent="0.2">
      <c r="B2023" s="8"/>
      <c r="K2023" s="8"/>
      <c r="T2023" s="8"/>
      <c r="AC2023" s="8"/>
    </row>
    <row r="2024" spans="2:29" ht="15" x14ac:dyDescent="0.2">
      <c r="B2024" s="8"/>
      <c r="K2024" s="8"/>
      <c r="T2024" s="8"/>
      <c r="AC2024" s="8"/>
    </row>
    <row r="2025" spans="2:29" ht="15" x14ac:dyDescent="0.2">
      <c r="B2025" s="8"/>
      <c r="K2025" s="8"/>
      <c r="T2025" s="8"/>
      <c r="AC2025" s="8"/>
    </row>
    <row r="2026" spans="2:29" ht="15" x14ac:dyDescent="0.2">
      <c r="B2026" s="8"/>
      <c r="K2026" s="8"/>
      <c r="T2026" s="8"/>
      <c r="AC2026" s="8"/>
    </row>
    <row r="2027" spans="2:29" ht="15" x14ac:dyDescent="0.2">
      <c r="B2027" s="8"/>
      <c r="K2027" s="8"/>
      <c r="T2027" s="8"/>
      <c r="AC2027" s="8"/>
    </row>
    <row r="2028" spans="2:29" ht="15" x14ac:dyDescent="0.2">
      <c r="B2028" s="8"/>
      <c r="K2028" s="8"/>
      <c r="T2028" s="8"/>
      <c r="AC2028" s="8"/>
    </row>
    <row r="2029" spans="2:29" ht="15" x14ac:dyDescent="0.2">
      <c r="B2029" s="8"/>
      <c r="K2029" s="8"/>
      <c r="T2029" s="8"/>
      <c r="AC2029" s="8"/>
    </row>
    <row r="2030" spans="2:29" ht="15" x14ac:dyDescent="0.2">
      <c r="B2030" s="8"/>
      <c r="K2030" s="8"/>
      <c r="T2030" s="8"/>
      <c r="AC2030" s="8"/>
    </row>
    <row r="2031" spans="2:29" ht="15" x14ac:dyDescent="0.2">
      <c r="B2031" s="8"/>
      <c r="K2031" s="8"/>
      <c r="T2031" s="8"/>
      <c r="AC2031" s="8"/>
    </row>
    <row r="2032" spans="2:29" ht="15" x14ac:dyDescent="0.2">
      <c r="B2032" s="8"/>
      <c r="K2032" s="8"/>
      <c r="T2032" s="8"/>
      <c r="AC2032" s="8"/>
    </row>
    <row r="2033" spans="2:29" ht="15" x14ac:dyDescent="0.2">
      <c r="B2033" s="8"/>
      <c r="K2033" s="8"/>
      <c r="T2033" s="8"/>
      <c r="AC2033" s="8"/>
    </row>
    <row r="2034" spans="2:29" ht="15" x14ac:dyDescent="0.2">
      <c r="B2034" s="8"/>
      <c r="K2034" s="8"/>
      <c r="T2034" s="8"/>
      <c r="AC2034" s="8"/>
    </row>
    <row r="2035" spans="2:29" ht="15" x14ac:dyDescent="0.2">
      <c r="B2035" s="8"/>
      <c r="K2035" s="8"/>
      <c r="T2035" s="8"/>
      <c r="AC2035" s="8"/>
    </row>
    <row r="2036" spans="2:29" ht="15" x14ac:dyDescent="0.2">
      <c r="B2036" s="8"/>
      <c r="K2036" s="8"/>
      <c r="T2036" s="8"/>
      <c r="AC2036" s="8"/>
    </row>
    <row r="2037" spans="2:29" ht="15" x14ac:dyDescent="0.2">
      <c r="B2037" s="8"/>
      <c r="K2037" s="8"/>
      <c r="T2037" s="8"/>
      <c r="AC2037" s="8"/>
    </row>
    <row r="2038" spans="2:29" ht="15" x14ac:dyDescent="0.2">
      <c r="B2038" s="8"/>
      <c r="K2038" s="8"/>
      <c r="T2038" s="8"/>
      <c r="AC2038" s="8"/>
    </row>
    <row r="2039" spans="2:29" ht="15" x14ac:dyDescent="0.2">
      <c r="B2039" s="8"/>
      <c r="K2039" s="8"/>
      <c r="T2039" s="8"/>
      <c r="AC2039" s="8"/>
    </row>
    <row r="2040" spans="2:29" ht="15" x14ac:dyDescent="0.2">
      <c r="B2040" s="8"/>
      <c r="K2040" s="8"/>
      <c r="T2040" s="8"/>
      <c r="AC2040" s="8"/>
    </row>
    <row r="2041" spans="2:29" ht="15" x14ac:dyDescent="0.2">
      <c r="B2041" s="8"/>
      <c r="K2041" s="8"/>
      <c r="T2041" s="8"/>
      <c r="AC2041" s="8"/>
    </row>
    <row r="2042" spans="2:29" ht="15" x14ac:dyDescent="0.2">
      <c r="B2042" s="8"/>
      <c r="K2042" s="8"/>
      <c r="T2042" s="8"/>
      <c r="AC2042" s="8"/>
    </row>
    <row r="2043" spans="2:29" ht="15" x14ac:dyDescent="0.2">
      <c r="B2043" s="8"/>
      <c r="K2043" s="8"/>
      <c r="T2043" s="8"/>
      <c r="AC2043" s="8"/>
    </row>
    <row r="2044" spans="2:29" ht="15" x14ac:dyDescent="0.2">
      <c r="B2044" s="8"/>
      <c r="K2044" s="8"/>
      <c r="T2044" s="8"/>
      <c r="AC2044" s="8"/>
    </row>
    <row r="2045" spans="2:29" ht="15" x14ac:dyDescent="0.2">
      <c r="B2045" s="8"/>
      <c r="K2045" s="8"/>
      <c r="T2045" s="8"/>
      <c r="AC2045" s="8"/>
    </row>
    <row r="2046" spans="2:29" ht="15" x14ac:dyDescent="0.2">
      <c r="B2046" s="8"/>
      <c r="K2046" s="8"/>
      <c r="T2046" s="8"/>
      <c r="AC2046" s="8"/>
    </row>
    <row r="2047" spans="2:29" ht="15" x14ac:dyDescent="0.2">
      <c r="B2047" s="8"/>
      <c r="K2047" s="8"/>
      <c r="T2047" s="8"/>
      <c r="AC2047" s="8"/>
    </row>
    <row r="2048" spans="2:29" ht="15" x14ac:dyDescent="0.2">
      <c r="B2048" s="8"/>
      <c r="K2048" s="8"/>
      <c r="T2048" s="8"/>
      <c r="AC2048" s="8"/>
    </row>
    <row r="2049" spans="2:29" ht="15" x14ac:dyDescent="0.2">
      <c r="B2049" s="8"/>
      <c r="K2049" s="8"/>
      <c r="T2049" s="8"/>
      <c r="AC2049" s="8"/>
    </row>
    <row r="2050" spans="2:29" ht="15" x14ac:dyDescent="0.2">
      <c r="B2050" s="8"/>
      <c r="K2050" s="8"/>
      <c r="T2050" s="8"/>
      <c r="AC2050" s="8"/>
    </row>
    <row r="2051" spans="2:29" ht="15" x14ac:dyDescent="0.2">
      <c r="B2051" s="8"/>
      <c r="K2051" s="8"/>
      <c r="T2051" s="8"/>
      <c r="AC2051" s="8"/>
    </row>
    <row r="2052" spans="2:29" ht="15" x14ac:dyDescent="0.2">
      <c r="B2052" s="8"/>
      <c r="K2052" s="8"/>
      <c r="T2052" s="8"/>
      <c r="AC2052" s="8"/>
    </row>
    <row r="2053" spans="2:29" ht="15" x14ac:dyDescent="0.2">
      <c r="B2053" s="8"/>
      <c r="K2053" s="8"/>
      <c r="T2053" s="8"/>
      <c r="AC2053" s="8"/>
    </row>
    <row r="2054" spans="2:29" ht="15" x14ac:dyDescent="0.2">
      <c r="B2054" s="8"/>
      <c r="K2054" s="8"/>
      <c r="T2054" s="8"/>
      <c r="AC2054" s="8"/>
    </row>
    <row r="2055" spans="2:29" ht="15" x14ac:dyDescent="0.2">
      <c r="B2055" s="8"/>
      <c r="K2055" s="8"/>
      <c r="T2055" s="8"/>
      <c r="AC2055" s="8"/>
    </row>
    <row r="2056" spans="2:29" ht="15" x14ac:dyDescent="0.2">
      <c r="B2056" s="8"/>
      <c r="K2056" s="8"/>
      <c r="T2056" s="8"/>
      <c r="AC2056" s="8"/>
    </row>
    <row r="2057" spans="2:29" ht="15" x14ac:dyDescent="0.2">
      <c r="B2057" s="8"/>
      <c r="K2057" s="8"/>
      <c r="T2057" s="8"/>
      <c r="AC2057" s="8"/>
    </row>
    <row r="2058" spans="2:29" ht="15" x14ac:dyDescent="0.2">
      <c r="B2058" s="8"/>
      <c r="K2058" s="8"/>
      <c r="T2058" s="8"/>
      <c r="AC2058" s="8"/>
    </row>
    <row r="2059" spans="2:29" ht="15" x14ac:dyDescent="0.2">
      <c r="B2059" s="8"/>
      <c r="K2059" s="8"/>
      <c r="T2059" s="8"/>
      <c r="AC2059" s="8"/>
    </row>
    <row r="2060" spans="2:29" ht="15" x14ac:dyDescent="0.2">
      <c r="B2060" s="8"/>
      <c r="K2060" s="8"/>
      <c r="T2060" s="8"/>
      <c r="AC2060" s="8"/>
    </row>
    <row r="2061" spans="2:29" ht="15" x14ac:dyDescent="0.2">
      <c r="B2061" s="8"/>
      <c r="K2061" s="8"/>
      <c r="T2061" s="8"/>
      <c r="AC2061" s="8"/>
    </row>
    <row r="2062" spans="2:29" ht="15" x14ac:dyDescent="0.2">
      <c r="B2062" s="8"/>
      <c r="K2062" s="8"/>
      <c r="T2062" s="8"/>
      <c r="AC2062" s="8"/>
    </row>
    <row r="2063" spans="2:29" ht="15" x14ac:dyDescent="0.2">
      <c r="B2063" s="8"/>
      <c r="K2063" s="8"/>
      <c r="T2063" s="8"/>
      <c r="AC2063" s="8"/>
    </row>
    <row r="2064" spans="2:29" ht="15" x14ac:dyDescent="0.2">
      <c r="B2064" s="8"/>
      <c r="K2064" s="8"/>
      <c r="T2064" s="8"/>
      <c r="AC2064" s="8"/>
    </row>
    <row r="2065" spans="2:29" ht="15" x14ac:dyDescent="0.2">
      <c r="B2065" s="8"/>
      <c r="K2065" s="8"/>
      <c r="T2065" s="8"/>
      <c r="AC2065" s="8"/>
    </row>
    <row r="2066" spans="2:29" ht="15" x14ac:dyDescent="0.2">
      <c r="B2066" s="8"/>
      <c r="K2066" s="8"/>
      <c r="T2066" s="8"/>
      <c r="AC2066" s="8"/>
    </row>
    <row r="2067" spans="2:29" ht="15" x14ac:dyDescent="0.2">
      <c r="B2067" s="8"/>
      <c r="K2067" s="8"/>
      <c r="T2067" s="8"/>
      <c r="AC2067" s="8"/>
    </row>
    <row r="2068" spans="2:29" ht="15" x14ac:dyDescent="0.2">
      <c r="B2068" s="8"/>
      <c r="K2068" s="8"/>
      <c r="T2068" s="8"/>
      <c r="AC2068" s="8"/>
    </row>
    <row r="2069" spans="2:29" ht="15" x14ac:dyDescent="0.2">
      <c r="B2069" s="8"/>
      <c r="K2069" s="8"/>
      <c r="T2069" s="8"/>
      <c r="AC2069" s="8"/>
    </row>
    <row r="2070" spans="2:29" ht="15" x14ac:dyDescent="0.2">
      <c r="B2070" s="8"/>
      <c r="K2070" s="8"/>
      <c r="T2070" s="8"/>
      <c r="AC2070" s="8"/>
    </row>
    <row r="2071" spans="2:29" ht="15" x14ac:dyDescent="0.2">
      <c r="B2071" s="8"/>
      <c r="K2071" s="8"/>
      <c r="T2071" s="8"/>
      <c r="AC2071" s="8"/>
    </row>
    <row r="2072" spans="2:29" ht="15" x14ac:dyDescent="0.2">
      <c r="B2072" s="8"/>
      <c r="K2072" s="8"/>
      <c r="T2072" s="8"/>
      <c r="AC2072" s="8"/>
    </row>
    <row r="2073" spans="2:29" ht="15" x14ac:dyDescent="0.2">
      <c r="B2073" s="8"/>
      <c r="K2073" s="8"/>
      <c r="T2073" s="8"/>
      <c r="AC2073" s="8"/>
    </row>
    <row r="2074" spans="2:29" ht="15" x14ac:dyDescent="0.2">
      <c r="B2074" s="8"/>
      <c r="K2074" s="8"/>
      <c r="T2074" s="8"/>
      <c r="AC2074" s="8"/>
    </row>
    <row r="2075" spans="2:29" ht="15" x14ac:dyDescent="0.2">
      <c r="B2075" s="8"/>
      <c r="K2075" s="8"/>
      <c r="T2075" s="8"/>
      <c r="AC2075" s="8"/>
    </row>
    <row r="2076" spans="2:29" ht="15" x14ac:dyDescent="0.2">
      <c r="B2076" s="8"/>
      <c r="K2076" s="8"/>
      <c r="T2076" s="8"/>
      <c r="AC2076" s="8"/>
    </row>
    <row r="2077" spans="2:29" ht="15" x14ac:dyDescent="0.2">
      <c r="B2077" s="8"/>
      <c r="K2077" s="8"/>
      <c r="T2077" s="8"/>
      <c r="AC2077" s="8"/>
    </row>
    <row r="2078" spans="2:29" ht="15" x14ac:dyDescent="0.2">
      <c r="B2078" s="8"/>
      <c r="K2078" s="8"/>
      <c r="T2078" s="8"/>
      <c r="AC2078" s="8"/>
    </row>
    <row r="2079" spans="2:29" ht="15" x14ac:dyDescent="0.2">
      <c r="B2079" s="8"/>
      <c r="K2079" s="8"/>
      <c r="T2079" s="8"/>
      <c r="AC2079" s="8"/>
    </row>
    <row r="2080" spans="2:29" ht="15" x14ac:dyDescent="0.2">
      <c r="B2080" s="8"/>
      <c r="K2080" s="8"/>
      <c r="T2080" s="8"/>
      <c r="AC2080" s="8"/>
    </row>
    <row r="2081" spans="2:29" ht="15" x14ac:dyDescent="0.2">
      <c r="B2081" s="8"/>
      <c r="K2081" s="8"/>
      <c r="T2081" s="8"/>
      <c r="AC2081" s="8"/>
    </row>
    <row r="2082" spans="2:29" ht="15" x14ac:dyDescent="0.2">
      <c r="B2082" s="8"/>
      <c r="K2082" s="8"/>
      <c r="T2082" s="8"/>
      <c r="AC2082" s="8"/>
    </row>
    <row r="2083" spans="2:29" ht="15" x14ac:dyDescent="0.2">
      <c r="B2083" s="8"/>
      <c r="K2083" s="8"/>
      <c r="T2083" s="8"/>
      <c r="AC2083" s="8"/>
    </row>
    <row r="2084" spans="2:29" ht="15" x14ac:dyDescent="0.2">
      <c r="B2084" s="8"/>
      <c r="K2084" s="8"/>
      <c r="T2084" s="8"/>
      <c r="AC2084" s="8"/>
    </row>
    <row r="2085" spans="2:29" ht="15" x14ac:dyDescent="0.2">
      <c r="B2085" s="8"/>
      <c r="K2085" s="8"/>
      <c r="T2085" s="8"/>
      <c r="AC2085" s="8"/>
    </row>
    <row r="2086" spans="2:29" ht="15" x14ac:dyDescent="0.2">
      <c r="B2086" s="8"/>
      <c r="K2086" s="8"/>
      <c r="T2086" s="8"/>
      <c r="AC2086" s="8"/>
    </row>
    <row r="2087" spans="2:29" ht="15" x14ac:dyDescent="0.2">
      <c r="B2087" s="8"/>
      <c r="K2087" s="8"/>
      <c r="T2087" s="8"/>
      <c r="AC2087" s="8"/>
    </row>
    <row r="2088" spans="2:29" ht="15" x14ac:dyDescent="0.2">
      <c r="B2088" s="8"/>
      <c r="K2088" s="8"/>
      <c r="T2088" s="8"/>
      <c r="AC2088" s="8"/>
    </row>
    <row r="2089" spans="2:29" ht="15" x14ac:dyDescent="0.2">
      <c r="B2089" s="8"/>
      <c r="K2089" s="8"/>
      <c r="T2089" s="8"/>
      <c r="AC2089" s="8"/>
    </row>
    <row r="2090" spans="2:29" ht="15" x14ac:dyDescent="0.2">
      <c r="B2090" s="8"/>
      <c r="K2090" s="8"/>
      <c r="T2090" s="8"/>
      <c r="AC2090" s="8"/>
    </row>
    <row r="2091" spans="2:29" ht="15" x14ac:dyDescent="0.2">
      <c r="B2091" s="8"/>
      <c r="K2091" s="8"/>
      <c r="T2091" s="8"/>
      <c r="AC2091" s="8"/>
    </row>
    <row r="2092" spans="2:29" ht="15" x14ac:dyDescent="0.2">
      <c r="B2092" s="8"/>
      <c r="K2092" s="8"/>
      <c r="T2092" s="8"/>
      <c r="AC2092" s="8"/>
    </row>
    <row r="2093" spans="2:29" ht="15" x14ac:dyDescent="0.2">
      <c r="B2093" s="8"/>
      <c r="K2093" s="8"/>
      <c r="T2093" s="8"/>
      <c r="AC2093" s="8"/>
    </row>
    <row r="2094" spans="2:29" ht="15" x14ac:dyDescent="0.2">
      <c r="B2094" s="8"/>
      <c r="K2094" s="8"/>
      <c r="T2094" s="8"/>
      <c r="AC2094" s="8"/>
    </row>
    <row r="2095" spans="2:29" ht="15" x14ac:dyDescent="0.2">
      <c r="B2095" s="8"/>
      <c r="K2095" s="8"/>
      <c r="T2095" s="8"/>
      <c r="AC2095" s="8"/>
    </row>
    <row r="2096" spans="2:29" ht="15" x14ac:dyDescent="0.2">
      <c r="B2096" s="8"/>
      <c r="K2096" s="8"/>
      <c r="T2096" s="8"/>
      <c r="AC2096" s="8"/>
    </row>
    <row r="2097" spans="2:29" ht="15" x14ac:dyDescent="0.2">
      <c r="B2097" s="8"/>
      <c r="K2097" s="8"/>
      <c r="T2097" s="8"/>
      <c r="AC2097" s="8"/>
    </row>
    <row r="2098" spans="2:29" ht="15" x14ac:dyDescent="0.2">
      <c r="B2098" s="8"/>
      <c r="K2098" s="8"/>
      <c r="T2098" s="8"/>
      <c r="AC2098" s="8"/>
    </row>
    <row r="2099" spans="2:29" ht="15" x14ac:dyDescent="0.2">
      <c r="B2099" s="8"/>
      <c r="K2099" s="8"/>
      <c r="T2099" s="8"/>
      <c r="AC2099" s="8"/>
    </row>
    <row r="2100" spans="2:29" ht="15" x14ac:dyDescent="0.2">
      <c r="B2100" s="8"/>
      <c r="K2100" s="8"/>
      <c r="T2100" s="8"/>
      <c r="AC2100" s="8"/>
    </row>
    <row r="2101" spans="2:29" ht="15" x14ac:dyDescent="0.2">
      <c r="B2101" s="8"/>
      <c r="K2101" s="8"/>
      <c r="T2101" s="8"/>
      <c r="AC2101" s="8"/>
    </row>
    <row r="2102" spans="2:29" ht="15" x14ac:dyDescent="0.2">
      <c r="B2102" s="8"/>
      <c r="K2102" s="8"/>
      <c r="T2102" s="8"/>
      <c r="AC2102" s="8"/>
    </row>
    <row r="2103" spans="2:29" ht="15" x14ac:dyDescent="0.2">
      <c r="B2103" s="8"/>
      <c r="K2103" s="8"/>
      <c r="T2103" s="8"/>
      <c r="AC2103" s="8"/>
    </row>
    <row r="2104" spans="2:29" ht="15" x14ac:dyDescent="0.2">
      <c r="B2104" s="8"/>
      <c r="K2104" s="8"/>
      <c r="T2104" s="8"/>
      <c r="AC2104" s="8"/>
    </row>
    <row r="2105" spans="2:29" ht="15" x14ac:dyDescent="0.2">
      <c r="B2105" s="8"/>
      <c r="K2105" s="8"/>
      <c r="T2105" s="8"/>
      <c r="AC2105" s="8"/>
    </row>
    <row r="2106" spans="2:29" ht="15" x14ac:dyDescent="0.2">
      <c r="B2106" s="8"/>
      <c r="K2106" s="8"/>
      <c r="T2106" s="8"/>
      <c r="AC2106" s="8"/>
    </row>
    <row r="2107" spans="2:29" ht="15" x14ac:dyDescent="0.2">
      <c r="B2107" s="8"/>
      <c r="K2107" s="8"/>
      <c r="T2107" s="8"/>
      <c r="AC2107" s="8"/>
    </row>
    <row r="2108" spans="2:29" ht="15" x14ac:dyDescent="0.2">
      <c r="B2108" s="8"/>
      <c r="K2108" s="8"/>
      <c r="T2108" s="8"/>
      <c r="AC2108" s="8"/>
    </row>
    <row r="2109" spans="2:29" ht="15" x14ac:dyDescent="0.2">
      <c r="B2109" s="8"/>
      <c r="K2109" s="8"/>
      <c r="T2109" s="8"/>
      <c r="AC2109" s="8"/>
    </row>
    <row r="2110" spans="2:29" ht="15" x14ac:dyDescent="0.2">
      <c r="B2110" s="8"/>
      <c r="K2110" s="8"/>
      <c r="T2110" s="8"/>
      <c r="AC2110" s="8"/>
    </row>
    <row r="2111" spans="2:29" ht="15" x14ac:dyDescent="0.2">
      <c r="B2111" s="8"/>
      <c r="K2111" s="8"/>
      <c r="T2111" s="8"/>
      <c r="AC2111" s="8"/>
    </row>
    <row r="2112" spans="2:29" ht="15" x14ac:dyDescent="0.2">
      <c r="B2112" s="8"/>
      <c r="K2112" s="8"/>
      <c r="T2112" s="8"/>
      <c r="AC2112" s="8"/>
    </row>
    <row r="2113" spans="2:29" ht="15" x14ac:dyDescent="0.2">
      <c r="B2113" s="8"/>
      <c r="K2113" s="8"/>
      <c r="T2113" s="8"/>
      <c r="AC2113" s="8"/>
    </row>
    <row r="2114" spans="2:29" ht="15" x14ac:dyDescent="0.2">
      <c r="B2114" s="8"/>
      <c r="K2114" s="8"/>
      <c r="T2114" s="8"/>
      <c r="AC2114" s="8"/>
    </row>
    <row r="2115" spans="2:29" ht="15" x14ac:dyDescent="0.2">
      <c r="B2115" s="8"/>
      <c r="K2115" s="8"/>
      <c r="T2115" s="8"/>
      <c r="AC2115" s="8"/>
    </row>
    <row r="2116" spans="2:29" ht="15" x14ac:dyDescent="0.2">
      <c r="B2116" s="8"/>
      <c r="K2116" s="8"/>
      <c r="T2116" s="8"/>
      <c r="AC2116" s="8"/>
    </row>
    <row r="2117" spans="2:29" ht="15" x14ac:dyDescent="0.2">
      <c r="B2117" s="8"/>
      <c r="K2117" s="8"/>
      <c r="T2117" s="8"/>
      <c r="AC2117" s="8"/>
    </row>
    <row r="2118" spans="2:29" ht="15" x14ac:dyDescent="0.2">
      <c r="B2118" s="8"/>
      <c r="K2118" s="8"/>
      <c r="T2118" s="8"/>
      <c r="AC2118" s="8"/>
    </row>
    <row r="2119" spans="2:29" ht="15" x14ac:dyDescent="0.2">
      <c r="B2119" s="8"/>
      <c r="K2119" s="8"/>
      <c r="T2119" s="8"/>
      <c r="AC2119" s="8"/>
    </row>
    <row r="2120" spans="2:29" ht="15" x14ac:dyDescent="0.2">
      <c r="B2120" s="8"/>
      <c r="K2120" s="8"/>
      <c r="T2120" s="8"/>
      <c r="AC2120" s="8"/>
    </row>
    <row r="2121" spans="2:29" ht="15" x14ac:dyDescent="0.2">
      <c r="B2121" s="8"/>
      <c r="K2121" s="8"/>
      <c r="T2121" s="8"/>
      <c r="AC2121" s="8"/>
    </row>
    <row r="2122" spans="2:29" ht="15" x14ac:dyDescent="0.2">
      <c r="B2122" s="8"/>
      <c r="K2122" s="8"/>
      <c r="T2122" s="8"/>
      <c r="AC2122" s="8"/>
    </row>
    <row r="2123" spans="2:29" ht="15" x14ac:dyDescent="0.2">
      <c r="B2123" s="8"/>
      <c r="K2123" s="8"/>
      <c r="T2123" s="8"/>
      <c r="AC2123" s="8"/>
    </row>
    <row r="2124" spans="2:29" ht="15" x14ac:dyDescent="0.2">
      <c r="B2124" s="8"/>
      <c r="K2124" s="8"/>
      <c r="T2124" s="8"/>
      <c r="AC2124" s="8"/>
    </row>
    <row r="2125" spans="2:29" ht="15" x14ac:dyDescent="0.2">
      <c r="B2125" s="8"/>
      <c r="K2125" s="8"/>
      <c r="T2125" s="8"/>
      <c r="AC2125" s="8"/>
    </row>
    <row r="2126" spans="2:29" ht="15" x14ac:dyDescent="0.2">
      <c r="B2126" s="8"/>
      <c r="K2126" s="8"/>
      <c r="T2126" s="8"/>
      <c r="AC2126" s="8"/>
    </row>
    <row r="2127" spans="2:29" ht="15" x14ac:dyDescent="0.2">
      <c r="B2127" s="8"/>
      <c r="K2127" s="8"/>
      <c r="T2127" s="8"/>
      <c r="AC2127" s="8"/>
    </row>
    <row r="2128" spans="2:29" ht="15" x14ac:dyDescent="0.2">
      <c r="B2128" s="8"/>
      <c r="K2128" s="8"/>
      <c r="T2128" s="8"/>
      <c r="AC2128" s="8"/>
    </row>
    <row r="2129" spans="2:29" ht="15" x14ac:dyDescent="0.2">
      <c r="B2129" s="8"/>
      <c r="K2129" s="8"/>
      <c r="T2129" s="8"/>
      <c r="AC2129" s="8"/>
    </row>
    <row r="2130" spans="2:29" ht="15" x14ac:dyDescent="0.2">
      <c r="B2130" s="8"/>
      <c r="K2130" s="8"/>
      <c r="T2130" s="8"/>
      <c r="AC2130" s="8"/>
    </row>
    <row r="2131" spans="2:29" ht="15" x14ac:dyDescent="0.2">
      <c r="B2131" s="8"/>
      <c r="K2131" s="8"/>
      <c r="T2131" s="8"/>
      <c r="AC2131" s="8"/>
    </row>
    <row r="2132" spans="2:29" ht="15" x14ac:dyDescent="0.2">
      <c r="B2132" s="8"/>
      <c r="K2132" s="8"/>
      <c r="T2132" s="8"/>
      <c r="AC2132" s="8"/>
    </row>
    <row r="2133" spans="2:29" ht="15" x14ac:dyDescent="0.2">
      <c r="B2133" s="8"/>
      <c r="K2133" s="8"/>
      <c r="T2133" s="8"/>
      <c r="AC2133" s="8"/>
    </row>
    <row r="2134" spans="2:29" ht="15" x14ac:dyDescent="0.2">
      <c r="B2134" s="8"/>
      <c r="K2134" s="8"/>
      <c r="T2134" s="8"/>
      <c r="AC2134" s="8"/>
    </row>
    <row r="2135" spans="2:29" ht="15" x14ac:dyDescent="0.2">
      <c r="B2135" s="8"/>
      <c r="K2135" s="8"/>
      <c r="T2135" s="8"/>
      <c r="AC2135" s="8"/>
    </row>
    <row r="2136" spans="2:29" ht="15" x14ac:dyDescent="0.2">
      <c r="B2136" s="8"/>
      <c r="K2136" s="8"/>
      <c r="T2136" s="8"/>
      <c r="AC2136" s="8"/>
    </row>
    <row r="2137" spans="2:29" ht="15" x14ac:dyDescent="0.2">
      <c r="B2137" s="8"/>
      <c r="K2137" s="8"/>
      <c r="T2137" s="8"/>
      <c r="AC2137" s="8"/>
    </row>
    <row r="2138" spans="2:29" ht="15" x14ac:dyDescent="0.2">
      <c r="B2138" s="8"/>
      <c r="K2138" s="8"/>
      <c r="T2138" s="8"/>
      <c r="AC2138" s="8"/>
    </row>
    <row r="2139" spans="2:29" ht="15" x14ac:dyDescent="0.2">
      <c r="B2139" s="8"/>
      <c r="K2139" s="8"/>
      <c r="T2139" s="8"/>
      <c r="AC2139" s="8"/>
    </row>
    <row r="2140" spans="2:29" ht="15" x14ac:dyDescent="0.2">
      <c r="B2140" s="8"/>
      <c r="K2140" s="8"/>
      <c r="T2140" s="8"/>
      <c r="AC2140" s="8"/>
    </row>
    <row r="2141" spans="2:29" ht="15" x14ac:dyDescent="0.2">
      <c r="B2141" s="8"/>
      <c r="K2141" s="8"/>
      <c r="T2141" s="8"/>
      <c r="AC2141" s="8"/>
    </row>
    <row r="2142" spans="2:29" ht="15" x14ac:dyDescent="0.2">
      <c r="B2142" s="8"/>
      <c r="K2142" s="8"/>
      <c r="T2142" s="8"/>
      <c r="AC2142" s="8"/>
    </row>
    <row r="2143" spans="2:29" ht="15" x14ac:dyDescent="0.2">
      <c r="B2143" s="8"/>
      <c r="K2143" s="8"/>
      <c r="T2143" s="8"/>
      <c r="AC2143" s="8"/>
    </row>
    <row r="2144" spans="2:29" ht="15" x14ac:dyDescent="0.2">
      <c r="B2144" s="8"/>
      <c r="K2144" s="8"/>
      <c r="T2144" s="8"/>
      <c r="AC2144" s="8"/>
    </row>
    <row r="2145" spans="2:29" ht="15" x14ac:dyDescent="0.2">
      <c r="B2145" s="8"/>
      <c r="K2145" s="8"/>
      <c r="T2145" s="8"/>
      <c r="AC2145" s="8"/>
    </row>
    <row r="2146" spans="2:29" ht="15" x14ac:dyDescent="0.2">
      <c r="B2146" s="8"/>
      <c r="K2146" s="8"/>
      <c r="T2146" s="8"/>
      <c r="AC2146" s="8"/>
    </row>
    <row r="2147" spans="2:29" ht="15" x14ac:dyDescent="0.2">
      <c r="B2147" s="8"/>
      <c r="K2147" s="8"/>
      <c r="T2147" s="8"/>
      <c r="AC2147" s="8"/>
    </row>
    <row r="2148" spans="2:29" ht="15" x14ac:dyDescent="0.2">
      <c r="B2148" s="8"/>
      <c r="K2148" s="8"/>
      <c r="T2148" s="8"/>
      <c r="AC2148" s="8"/>
    </row>
    <row r="2149" spans="2:29" ht="15" x14ac:dyDescent="0.2">
      <c r="B2149" s="8"/>
      <c r="K2149" s="8"/>
      <c r="T2149" s="8"/>
      <c r="AC2149" s="8"/>
    </row>
    <row r="2150" spans="2:29" ht="15" x14ac:dyDescent="0.2">
      <c r="B2150" s="8"/>
      <c r="K2150" s="8"/>
      <c r="T2150" s="8"/>
      <c r="AC2150" s="8"/>
    </row>
    <row r="2151" spans="2:29" ht="15" x14ac:dyDescent="0.2">
      <c r="B2151" s="8"/>
      <c r="K2151" s="8"/>
      <c r="T2151" s="8"/>
      <c r="AC2151" s="8"/>
    </row>
    <row r="2152" spans="2:29" ht="15" x14ac:dyDescent="0.2">
      <c r="B2152" s="8"/>
      <c r="K2152" s="8"/>
      <c r="T2152" s="8"/>
      <c r="AC2152" s="8"/>
    </row>
    <row r="2153" spans="2:29" ht="15" x14ac:dyDescent="0.2">
      <c r="B2153" s="8"/>
      <c r="K2153" s="8"/>
      <c r="T2153" s="8"/>
      <c r="AC2153" s="8"/>
    </row>
    <row r="2154" spans="2:29" ht="15" x14ac:dyDescent="0.2">
      <c r="B2154" s="8"/>
      <c r="K2154" s="8"/>
      <c r="T2154" s="8"/>
      <c r="AC2154" s="8"/>
    </row>
    <row r="2155" spans="2:29" ht="15" x14ac:dyDescent="0.2">
      <c r="B2155" s="8"/>
      <c r="K2155" s="8"/>
      <c r="T2155" s="8"/>
      <c r="AC2155" s="8"/>
    </row>
    <row r="2156" spans="2:29" ht="15" x14ac:dyDescent="0.2">
      <c r="B2156" s="8"/>
      <c r="K2156" s="8"/>
      <c r="T2156" s="8"/>
      <c r="AC2156" s="8"/>
    </row>
    <row r="2157" spans="2:29" ht="15" x14ac:dyDescent="0.2">
      <c r="B2157" s="8"/>
      <c r="K2157" s="8"/>
      <c r="T2157" s="8"/>
      <c r="AC2157" s="8"/>
    </row>
    <row r="2158" spans="2:29" ht="15" x14ac:dyDescent="0.2">
      <c r="B2158" s="8"/>
      <c r="K2158" s="8"/>
      <c r="T2158" s="8"/>
      <c r="AC2158" s="8"/>
    </row>
    <row r="2159" spans="2:29" ht="15" x14ac:dyDescent="0.2">
      <c r="B2159" s="8"/>
      <c r="K2159" s="8"/>
      <c r="T2159" s="8"/>
      <c r="AC2159" s="8"/>
    </row>
    <row r="2160" spans="2:29" ht="15" x14ac:dyDescent="0.2">
      <c r="B2160" s="8"/>
      <c r="K2160" s="8"/>
      <c r="T2160" s="8"/>
      <c r="AC2160" s="8"/>
    </row>
    <row r="2161" spans="2:29" ht="15" x14ac:dyDescent="0.2">
      <c r="B2161" s="8"/>
      <c r="K2161" s="8"/>
      <c r="T2161" s="8"/>
      <c r="AC2161" s="8"/>
    </row>
    <row r="2162" spans="2:29" ht="15" x14ac:dyDescent="0.2">
      <c r="B2162" s="8"/>
      <c r="K2162" s="8"/>
      <c r="T2162" s="8"/>
      <c r="AC2162" s="8"/>
    </row>
    <row r="2163" spans="2:29" ht="15" x14ac:dyDescent="0.2">
      <c r="B2163" s="8"/>
      <c r="K2163" s="8"/>
      <c r="T2163" s="8"/>
      <c r="AC2163" s="8"/>
    </row>
    <row r="2164" spans="2:29" ht="15" x14ac:dyDescent="0.2">
      <c r="B2164" s="8"/>
      <c r="K2164" s="8"/>
      <c r="T2164" s="8"/>
      <c r="AC2164" s="8"/>
    </row>
    <row r="2165" spans="2:29" ht="15" x14ac:dyDescent="0.2">
      <c r="B2165" s="8"/>
      <c r="K2165" s="8"/>
      <c r="T2165" s="8"/>
      <c r="AC2165" s="8"/>
    </row>
    <row r="2166" spans="2:29" ht="15" x14ac:dyDescent="0.2">
      <c r="B2166" s="8"/>
      <c r="K2166" s="8"/>
      <c r="T2166" s="8"/>
      <c r="AC2166" s="8"/>
    </row>
    <row r="2167" spans="2:29" ht="15" x14ac:dyDescent="0.2">
      <c r="B2167" s="8"/>
      <c r="K2167" s="8"/>
      <c r="T2167" s="8"/>
      <c r="AC2167" s="8"/>
    </row>
    <row r="2168" spans="2:29" ht="15" x14ac:dyDescent="0.2">
      <c r="B2168" s="8"/>
      <c r="K2168" s="8"/>
      <c r="T2168" s="8"/>
      <c r="AC2168" s="8"/>
    </row>
    <row r="2169" spans="2:29" ht="15" x14ac:dyDescent="0.2">
      <c r="B2169" s="8"/>
      <c r="K2169" s="8"/>
      <c r="T2169" s="8"/>
      <c r="AC2169" s="8"/>
    </row>
    <row r="2170" spans="2:29" ht="15" x14ac:dyDescent="0.2">
      <c r="B2170" s="8"/>
      <c r="K2170" s="8"/>
      <c r="T2170" s="8"/>
      <c r="AC2170" s="8"/>
    </row>
    <row r="2171" spans="2:29" ht="15" x14ac:dyDescent="0.2">
      <c r="B2171" s="8"/>
      <c r="K2171" s="8"/>
      <c r="T2171" s="8"/>
      <c r="AC2171" s="8"/>
    </row>
    <row r="2172" spans="2:29" ht="15" x14ac:dyDescent="0.2">
      <c r="B2172" s="8"/>
      <c r="K2172" s="8"/>
      <c r="T2172" s="8"/>
      <c r="AC2172" s="8"/>
    </row>
    <row r="2173" spans="2:29" ht="15" x14ac:dyDescent="0.2">
      <c r="B2173" s="8"/>
      <c r="K2173" s="8"/>
      <c r="T2173" s="8"/>
      <c r="AC2173" s="8"/>
    </row>
    <row r="2174" spans="2:29" ht="15" x14ac:dyDescent="0.2">
      <c r="B2174" s="8"/>
      <c r="K2174" s="8"/>
      <c r="T2174" s="8"/>
      <c r="AC2174" s="8"/>
    </row>
    <row r="2175" spans="2:29" ht="15" x14ac:dyDescent="0.2">
      <c r="B2175" s="8"/>
      <c r="K2175" s="8"/>
      <c r="T2175" s="8"/>
      <c r="AC2175" s="8"/>
    </row>
    <row r="2176" spans="2:29" ht="15" x14ac:dyDescent="0.2">
      <c r="B2176" s="8"/>
      <c r="K2176" s="8"/>
      <c r="T2176" s="8"/>
      <c r="AC2176" s="8"/>
    </row>
    <row r="2177" spans="2:29" ht="15" x14ac:dyDescent="0.2">
      <c r="B2177" s="8"/>
      <c r="K2177" s="8"/>
      <c r="T2177" s="8"/>
      <c r="AC2177" s="8"/>
    </row>
    <row r="2178" spans="2:29" ht="15" x14ac:dyDescent="0.2">
      <c r="B2178" s="8"/>
      <c r="K2178" s="8"/>
      <c r="T2178" s="8"/>
      <c r="AC2178" s="8"/>
    </row>
    <row r="2179" spans="2:29" ht="15" x14ac:dyDescent="0.2">
      <c r="B2179" s="8"/>
      <c r="K2179" s="8"/>
      <c r="T2179" s="8"/>
      <c r="AC2179" s="8"/>
    </row>
    <row r="2180" spans="2:29" ht="15" x14ac:dyDescent="0.2">
      <c r="B2180" s="8"/>
      <c r="K2180" s="8"/>
      <c r="T2180" s="8"/>
      <c r="AC2180" s="8"/>
    </row>
    <row r="2181" spans="2:29" ht="15" x14ac:dyDescent="0.2">
      <c r="B2181" s="8"/>
      <c r="K2181" s="8"/>
      <c r="T2181" s="8"/>
      <c r="AC2181" s="8"/>
    </row>
    <row r="2182" spans="2:29" ht="15" x14ac:dyDescent="0.2">
      <c r="B2182" s="8"/>
      <c r="K2182" s="8"/>
      <c r="T2182" s="8"/>
      <c r="AC2182" s="8"/>
    </row>
    <row r="2183" spans="2:29" ht="15" x14ac:dyDescent="0.2">
      <c r="B2183" s="8"/>
      <c r="K2183" s="8"/>
      <c r="T2183" s="8"/>
      <c r="AC2183" s="8"/>
    </row>
    <row r="2184" spans="2:29" ht="15" x14ac:dyDescent="0.2">
      <c r="B2184" s="8"/>
      <c r="K2184" s="8"/>
      <c r="T2184" s="8"/>
      <c r="AC2184" s="8"/>
    </row>
    <row r="2185" spans="2:29" ht="15" x14ac:dyDescent="0.2">
      <c r="B2185" s="8"/>
      <c r="K2185" s="8"/>
      <c r="T2185" s="8"/>
      <c r="AC2185" s="8"/>
    </row>
    <row r="2186" spans="2:29" ht="15" x14ac:dyDescent="0.2">
      <c r="B2186" s="8"/>
      <c r="K2186" s="8"/>
      <c r="T2186" s="8"/>
      <c r="AC2186" s="8"/>
    </row>
    <row r="2187" spans="2:29" ht="15" x14ac:dyDescent="0.2">
      <c r="B2187" s="8"/>
      <c r="K2187" s="8"/>
      <c r="T2187" s="8"/>
      <c r="AC2187" s="8"/>
    </row>
    <row r="2188" spans="2:29" ht="15" x14ac:dyDescent="0.2">
      <c r="B2188" s="8"/>
      <c r="K2188" s="8"/>
      <c r="T2188" s="8"/>
      <c r="AC2188" s="8"/>
    </row>
    <row r="2189" spans="2:29" ht="15" x14ac:dyDescent="0.2">
      <c r="B2189" s="8"/>
      <c r="K2189" s="8"/>
      <c r="T2189" s="8"/>
      <c r="AC2189" s="8"/>
    </row>
    <row r="2190" spans="2:29" ht="15" x14ac:dyDescent="0.2">
      <c r="B2190" s="8"/>
      <c r="K2190" s="8"/>
      <c r="T2190" s="8"/>
      <c r="AC2190" s="8"/>
    </row>
    <row r="2191" spans="2:29" ht="15" x14ac:dyDescent="0.2">
      <c r="B2191" s="8"/>
      <c r="K2191" s="8"/>
      <c r="T2191" s="8"/>
      <c r="AC2191" s="8"/>
    </row>
    <row r="2192" spans="2:29" ht="15" x14ac:dyDescent="0.2">
      <c r="B2192" s="8"/>
      <c r="K2192" s="8"/>
      <c r="T2192" s="8"/>
      <c r="AC2192" s="8"/>
    </row>
    <row r="2193" spans="2:29" ht="15" x14ac:dyDescent="0.2">
      <c r="B2193" s="8"/>
      <c r="K2193" s="8"/>
      <c r="T2193" s="8"/>
      <c r="AC2193" s="8"/>
    </row>
    <row r="2194" spans="2:29" ht="15" x14ac:dyDescent="0.2">
      <c r="B2194" s="8"/>
      <c r="K2194" s="8"/>
      <c r="T2194" s="8"/>
      <c r="AC2194" s="8"/>
    </row>
    <row r="2195" spans="2:29" ht="15" x14ac:dyDescent="0.2">
      <c r="B2195" s="8"/>
      <c r="K2195" s="8"/>
      <c r="T2195" s="8"/>
      <c r="AC2195" s="8"/>
    </row>
    <row r="2196" spans="2:29" ht="15" x14ac:dyDescent="0.2">
      <c r="B2196" s="8"/>
      <c r="K2196" s="8"/>
      <c r="T2196" s="8"/>
      <c r="AC2196" s="8"/>
    </row>
    <row r="2197" spans="2:29" ht="15" x14ac:dyDescent="0.2">
      <c r="B2197" s="8"/>
      <c r="K2197" s="8"/>
      <c r="T2197" s="8"/>
      <c r="AC2197" s="8"/>
    </row>
    <row r="2198" spans="2:29" ht="15" x14ac:dyDescent="0.2">
      <c r="B2198" s="8"/>
      <c r="K2198" s="8"/>
      <c r="T2198" s="8"/>
      <c r="AC2198" s="8"/>
    </row>
    <row r="2199" spans="2:29" ht="15" x14ac:dyDescent="0.2">
      <c r="B2199" s="8"/>
      <c r="K2199" s="8"/>
      <c r="T2199" s="8"/>
      <c r="AC2199" s="8"/>
    </row>
    <row r="2200" spans="2:29" ht="15" x14ac:dyDescent="0.2">
      <c r="B2200" s="8"/>
      <c r="K2200" s="8"/>
      <c r="T2200" s="8"/>
      <c r="AC2200" s="8"/>
    </row>
    <row r="2201" spans="2:29" ht="15" x14ac:dyDescent="0.2">
      <c r="B2201" s="8"/>
      <c r="K2201" s="8"/>
      <c r="T2201" s="8"/>
      <c r="AC2201" s="8"/>
    </row>
    <row r="2202" spans="2:29" ht="15" x14ac:dyDescent="0.2">
      <c r="B2202" s="8"/>
      <c r="K2202" s="8"/>
      <c r="T2202" s="8"/>
      <c r="AC2202" s="8"/>
    </row>
    <row r="2203" spans="2:29" ht="15" x14ac:dyDescent="0.2">
      <c r="B2203" s="8"/>
      <c r="K2203" s="8"/>
      <c r="T2203" s="8"/>
      <c r="AC2203" s="8"/>
    </row>
    <row r="2204" spans="2:29" ht="15" x14ac:dyDescent="0.2">
      <c r="B2204" s="8"/>
      <c r="K2204" s="8"/>
      <c r="T2204" s="8"/>
      <c r="AC2204" s="8"/>
    </row>
    <row r="2205" spans="2:29" ht="15" x14ac:dyDescent="0.2">
      <c r="B2205" s="8"/>
      <c r="K2205" s="8"/>
      <c r="T2205" s="8"/>
      <c r="AC2205" s="8"/>
    </row>
    <row r="2206" spans="2:29" ht="15" x14ac:dyDescent="0.2">
      <c r="B2206" s="8"/>
      <c r="K2206" s="8"/>
      <c r="T2206" s="8"/>
      <c r="AC2206" s="8"/>
    </row>
    <row r="2207" spans="2:29" ht="15" x14ac:dyDescent="0.2">
      <c r="B2207" s="8"/>
      <c r="K2207" s="8"/>
      <c r="T2207" s="8"/>
      <c r="AC2207" s="8"/>
    </row>
    <row r="2208" spans="2:29" ht="15" x14ac:dyDescent="0.2">
      <c r="B2208" s="8"/>
      <c r="K2208" s="8"/>
      <c r="T2208" s="8"/>
      <c r="AC2208" s="8"/>
    </row>
    <row r="2209" spans="2:29" ht="15" x14ac:dyDescent="0.2">
      <c r="B2209" s="8"/>
      <c r="K2209" s="8"/>
      <c r="T2209" s="8"/>
      <c r="AC2209" s="8"/>
    </row>
    <row r="2210" spans="2:29" ht="15" x14ac:dyDescent="0.2">
      <c r="B2210" s="8"/>
      <c r="K2210" s="8"/>
      <c r="T2210" s="8"/>
      <c r="AC2210" s="8"/>
    </row>
    <row r="2211" spans="2:29" ht="15" x14ac:dyDescent="0.2">
      <c r="B2211" s="8"/>
      <c r="K2211" s="8"/>
      <c r="T2211" s="8"/>
      <c r="AC2211" s="8"/>
    </row>
    <row r="2212" spans="2:29" ht="15" x14ac:dyDescent="0.2">
      <c r="B2212" s="8"/>
      <c r="K2212" s="8"/>
      <c r="T2212" s="8"/>
      <c r="AC2212" s="8"/>
    </row>
    <row r="2213" spans="2:29" ht="15" x14ac:dyDescent="0.2">
      <c r="B2213" s="8"/>
      <c r="K2213" s="8"/>
      <c r="T2213" s="8"/>
      <c r="AC2213" s="8"/>
    </row>
    <row r="2214" spans="2:29" ht="15" x14ac:dyDescent="0.2">
      <c r="B2214" s="8"/>
      <c r="K2214" s="8"/>
      <c r="T2214" s="8"/>
      <c r="AC2214" s="8"/>
    </row>
    <row r="2215" spans="2:29" ht="15" x14ac:dyDescent="0.2">
      <c r="B2215" s="8"/>
      <c r="K2215" s="8"/>
      <c r="T2215" s="8"/>
      <c r="AC2215" s="8"/>
    </row>
    <row r="2216" spans="2:29" ht="15" x14ac:dyDescent="0.2">
      <c r="B2216" s="8"/>
      <c r="K2216" s="8"/>
      <c r="T2216" s="8"/>
      <c r="AC2216" s="8"/>
    </row>
    <row r="2217" spans="2:29" ht="15" x14ac:dyDescent="0.2">
      <c r="B2217" s="8"/>
      <c r="K2217" s="8"/>
      <c r="T2217" s="8"/>
      <c r="AC2217" s="8"/>
    </row>
    <row r="2218" spans="2:29" ht="15" x14ac:dyDescent="0.2">
      <c r="B2218" s="8"/>
      <c r="K2218" s="8"/>
      <c r="T2218" s="8"/>
      <c r="AC2218" s="8"/>
    </row>
    <row r="2219" spans="2:29" ht="15" x14ac:dyDescent="0.2">
      <c r="B2219" s="8"/>
      <c r="K2219" s="8"/>
      <c r="T2219" s="8"/>
      <c r="AC2219" s="8"/>
    </row>
    <row r="2220" spans="2:29" ht="15" x14ac:dyDescent="0.2">
      <c r="B2220" s="8"/>
      <c r="K2220" s="8"/>
      <c r="T2220" s="8"/>
      <c r="AC2220" s="8"/>
    </row>
    <row r="2221" spans="2:29" ht="15" x14ac:dyDescent="0.2">
      <c r="B2221" s="8"/>
      <c r="K2221" s="8"/>
      <c r="T2221" s="8"/>
      <c r="AC2221" s="8"/>
    </row>
    <row r="2222" spans="2:29" ht="15" x14ac:dyDescent="0.2">
      <c r="B2222" s="8"/>
      <c r="K2222" s="8"/>
      <c r="T2222" s="8"/>
      <c r="AC2222" s="8"/>
    </row>
    <row r="2223" spans="2:29" ht="15" x14ac:dyDescent="0.2">
      <c r="B2223" s="8"/>
      <c r="K2223" s="8"/>
      <c r="T2223" s="8"/>
      <c r="AC2223" s="8"/>
    </row>
    <row r="2224" spans="2:29" ht="15" x14ac:dyDescent="0.2">
      <c r="B2224" s="8"/>
      <c r="K2224" s="8"/>
      <c r="T2224" s="8"/>
      <c r="AC2224" s="8"/>
    </row>
    <row r="2225" spans="2:29" ht="15" x14ac:dyDescent="0.2">
      <c r="B2225" s="8"/>
      <c r="K2225" s="8"/>
      <c r="T2225" s="8"/>
      <c r="AC2225" s="8"/>
    </row>
    <row r="2226" spans="2:29" ht="15" x14ac:dyDescent="0.2">
      <c r="B2226" s="8"/>
      <c r="K2226" s="8"/>
      <c r="T2226" s="8"/>
      <c r="AC2226" s="8"/>
    </row>
    <row r="2227" spans="2:29" ht="15" x14ac:dyDescent="0.2">
      <c r="B2227" s="8"/>
      <c r="K2227" s="8"/>
      <c r="T2227" s="8"/>
      <c r="AC2227" s="8"/>
    </row>
    <row r="2228" spans="2:29" ht="15" x14ac:dyDescent="0.2">
      <c r="B2228" s="8"/>
      <c r="K2228" s="8"/>
      <c r="T2228" s="8"/>
      <c r="AC2228" s="8"/>
    </row>
    <row r="2229" spans="2:29" ht="15" x14ac:dyDescent="0.2">
      <c r="B2229" s="8"/>
      <c r="K2229" s="8"/>
      <c r="T2229" s="8"/>
      <c r="AC2229" s="8"/>
    </row>
    <row r="2230" spans="2:29" ht="15" x14ac:dyDescent="0.2">
      <c r="B2230" s="8"/>
      <c r="K2230" s="8"/>
      <c r="T2230" s="8"/>
      <c r="AC2230" s="8"/>
    </row>
    <row r="2231" spans="2:29" ht="15" x14ac:dyDescent="0.2">
      <c r="B2231" s="8"/>
      <c r="K2231" s="8"/>
      <c r="T2231" s="8"/>
      <c r="AC2231" s="8"/>
    </row>
    <row r="2232" spans="2:29" ht="15" x14ac:dyDescent="0.2">
      <c r="B2232" s="8"/>
      <c r="K2232" s="8"/>
      <c r="T2232" s="8"/>
      <c r="AC2232" s="8"/>
    </row>
    <row r="2233" spans="2:29" ht="15" x14ac:dyDescent="0.2">
      <c r="B2233" s="8"/>
      <c r="K2233" s="8"/>
      <c r="T2233" s="8"/>
      <c r="AC2233" s="8"/>
    </row>
    <row r="2234" spans="2:29" ht="15" x14ac:dyDescent="0.2">
      <c r="B2234" s="8"/>
      <c r="K2234" s="8"/>
      <c r="T2234" s="8"/>
      <c r="AC2234" s="8"/>
    </row>
    <row r="2235" spans="2:29" ht="15" x14ac:dyDescent="0.2">
      <c r="B2235" s="8"/>
      <c r="K2235" s="8"/>
      <c r="T2235" s="8"/>
      <c r="AC2235" s="8"/>
    </row>
    <row r="2236" spans="2:29" ht="15" x14ac:dyDescent="0.2">
      <c r="B2236" s="8"/>
      <c r="K2236" s="8"/>
      <c r="T2236" s="8"/>
      <c r="AC2236" s="8"/>
    </row>
    <row r="2237" spans="2:29" ht="15" x14ac:dyDescent="0.2">
      <c r="B2237" s="8"/>
      <c r="K2237" s="8"/>
      <c r="T2237" s="8"/>
      <c r="AC2237" s="8"/>
    </row>
    <row r="2238" spans="2:29" ht="15" x14ac:dyDescent="0.2">
      <c r="B2238" s="8"/>
      <c r="K2238" s="8"/>
      <c r="T2238" s="8"/>
      <c r="AC2238" s="8"/>
    </row>
    <row r="2239" spans="2:29" ht="15" x14ac:dyDescent="0.2">
      <c r="B2239" s="8"/>
      <c r="K2239" s="8"/>
      <c r="T2239" s="8"/>
      <c r="AC2239" s="8"/>
    </row>
    <row r="2240" spans="2:29" ht="15" x14ac:dyDescent="0.2">
      <c r="B2240" s="8"/>
      <c r="K2240" s="8"/>
      <c r="T2240" s="8"/>
      <c r="AC2240" s="8"/>
    </row>
    <row r="2241" spans="2:29" ht="15" x14ac:dyDescent="0.2">
      <c r="B2241" s="8"/>
      <c r="K2241" s="8"/>
      <c r="T2241" s="8"/>
      <c r="AC2241" s="8"/>
    </row>
    <row r="2242" spans="2:29" ht="15" x14ac:dyDescent="0.2">
      <c r="B2242" s="8"/>
      <c r="K2242" s="8"/>
      <c r="T2242" s="8"/>
      <c r="AC2242" s="8"/>
    </row>
    <row r="2243" spans="2:29" ht="15" x14ac:dyDescent="0.2">
      <c r="B2243" s="8"/>
      <c r="K2243" s="8"/>
      <c r="T2243" s="8"/>
      <c r="AC2243" s="8"/>
    </row>
    <row r="2244" spans="2:29" ht="15" x14ac:dyDescent="0.2">
      <c r="B2244" s="8"/>
      <c r="K2244" s="8"/>
      <c r="T2244" s="8"/>
      <c r="AC2244" s="8"/>
    </row>
    <row r="2245" spans="2:29" ht="15" x14ac:dyDescent="0.2">
      <c r="B2245" s="8"/>
      <c r="K2245" s="8"/>
      <c r="T2245" s="8"/>
      <c r="AC2245" s="8"/>
    </row>
    <row r="2246" spans="2:29" ht="15" x14ac:dyDescent="0.2">
      <c r="B2246" s="8"/>
      <c r="K2246" s="8"/>
      <c r="T2246" s="8"/>
      <c r="AC2246" s="8"/>
    </row>
    <row r="2247" spans="2:29" ht="15" x14ac:dyDescent="0.2">
      <c r="B2247" s="8"/>
      <c r="K2247" s="8"/>
      <c r="T2247" s="8"/>
      <c r="AC2247" s="8"/>
    </row>
    <row r="2248" spans="2:29" ht="15" x14ac:dyDescent="0.2">
      <c r="B2248" s="8"/>
      <c r="K2248" s="8"/>
      <c r="T2248" s="8"/>
      <c r="AC2248" s="8"/>
    </row>
    <row r="2249" spans="2:29" ht="15" x14ac:dyDescent="0.2">
      <c r="B2249" s="8"/>
      <c r="K2249" s="8"/>
      <c r="T2249" s="8"/>
      <c r="AC2249" s="8"/>
    </row>
    <row r="2250" spans="2:29" ht="15" x14ac:dyDescent="0.2">
      <c r="B2250" s="8"/>
      <c r="K2250" s="8"/>
      <c r="T2250" s="8"/>
      <c r="AC2250" s="8"/>
    </row>
    <row r="2251" spans="2:29" ht="15" x14ac:dyDescent="0.2">
      <c r="B2251" s="8"/>
      <c r="K2251" s="8"/>
      <c r="T2251" s="8"/>
      <c r="AC2251" s="8"/>
    </row>
    <row r="2252" spans="2:29" ht="15" x14ac:dyDescent="0.2">
      <c r="B2252" s="8"/>
      <c r="K2252" s="8"/>
      <c r="T2252" s="8"/>
      <c r="AC2252" s="8"/>
    </row>
    <row r="2253" spans="2:29" ht="15" x14ac:dyDescent="0.2">
      <c r="B2253" s="8"/>
      <c r="K2253" s="8"/>
      <c r="T2253" s="8"/>
      <c r="AC2253" s="8"/>
    </row>
    <row r="2254" spans="2:29" ht="15" x14ac:dyDescent="0.2">
      <c r="B2254" s="8"/>
      <c r="K2254" s="8"/>
      <c r="T2254" s="8"/>
      <c r="AC2254" s="8"/>
    </row>
    <row r="2255" spans="2:29" ht="15" x14ac:dyDescent="0.2">
      <c r="B2255" s="8"/>
      <c r="K2255" s="8"/>
      <c r="T2255" s="8"/>
      <c r="AC2255" s="8"/>
    </row>
    <row r="2256" spans="2:29" ht="15" x14ac:dyDescent="0.2">
      <c r="B2256" s="8"/>
      <c r="K2256" s="8"/>
      <c r="T2256" s="8"/>
      <c r="AC2256" s="8"/>
    </row>
    <row r="2257" spans="2:29" ht="15" x14ac:dyDescent="0.2">
      <c r="B2257" s="8"/>
      <c r="K2257" s="8"/>
      <c r="T2257" s="8"/>
      <c r="AC2257" s="8"/>
    </row>
    <row r="2258" spans="2:29" ht="15" x14ac:dyDescent="0.2">
      <c r="B2258" s="8"/>
      <c r="K2258" s="8"/>
      <c r="T2258" s="8"/>
      <c r="AC2258" s="8"/>
    </row>
    <row r="2259" spans="2:29" ht="15" x14ac:dyDescent="0.2">
      <c r="B2259" s="8"/>
      <c r="K2259" s="8"/>
      <c r="T2259" s="8"/>
      <c r="AC2259" s="8"/>
    </row>
    <row r="2260" spans="2:29" ht="15" x14ac:dyDescent="0.2">
      <c r="B2260" s="8"/>
      <c r="K2260" s="8"/>
      <c r="T2260" s="8"/>
      <c r="AC2260" s="8"/>
    </row>
    <row r="2261" spans="2:29" ht="15" x14ac:dyDescent="0.2">
      <c r="B2261" s="8"/>
      <c r="K2261" s="8"/>
      <c r="T2261" s="8"/>
      <c r="AC2261" s="8"/>
    </row>
    <row r="2262" spans="2:29" ht="15" x14ac:dyDescent="0.2">
      <c r="B2262" s="8"/>
      <c r="K2262" s="8"/>
      <c r="T2262" s="8"/>
      <c r="AC2262" s="8"/>
    </row>
    <row r="2263" spans="2:29" ht="15" x14ac:dyDescent="0.2">
      <c r="B2263" s="8"/>
      <c r="K2263" s="8"/>
      <c r="T2263" s="8"/>
      <c r="AC2263" s="8"/>
    </row>
    <row r="2264" spans="2:29" ht="15" x14ac:dyDescent="0.2">
      <c r="B2264" s="8"/>
      <c r="K2264" s="8"/>
      <c r="T2264" s="8"/>
      <c r="AC2264" s="8"/>
    </row>
    <row r="2265" spans="2:29" ht="15" x14ac:dyDescent="0.2">
      <c r="B2265" s="8"/>
      <c r="K2265" s="8"/>
      <c r="T2265" s="8"/>
      <c r="AC2265" s="8"/>
    </row>
    <row r="2266" spans="2:29" ht="15" x14ac:dyDescent="0.2">
      <c r="B2266" s="8"/>
      <c r="K2266" s="8"/>
      <c r="T2266" s="8"/>
      <c r="AC2266" s="8"/>
    </row>
    <row r="2267" spans="2:29" ht="15" x14ac:dyDescent="0.2">
      <c r="B2267" s="8"/>
      <c r="K2267" s="8"/>
      <c r="T2267" s="8"/>
      <c r="AC2267" s="8"/>
    </row>
    <row r="2268" spans="2:29" ht="15" x14ac:dyDescent="0.2">
      <c r="B2268" s="8"/>
      <c r="K2268" s="8"/>
      <c r="T2268" s="8"/>
      <c r="AC2268" s="8"/>
    </row>
    <row r="2269" spans="2:29" ht="15" x14ac:dyDescent="0.2">
      <c r="B2269" s="8"/>
      <c r="K2269" s="8"/>
      <c r="T2269" s="8"/>
      <c r="AC2269" s="8"/>
    </row>
    <row r="2270" spans="2:29" ht="15" x14ac:dyDescent="0.2">
      <c r="B2270" s="8"/>
      <c r="K2270" s="8"/>
      <c r="T2270" s="8"/>
      <c r="AC2270" s="8"/>
    </row>
    <row r="2271" spans="2:29" ht="15" x14ac:dyDescent="0.2">
      <c r="B2271" s="8"/>
      <c r="K2271" s="8"/>
      <c r="T2271" s="8"/>
      <c r="AC2271" s="8"/>
    </row>
    <row r="2272" spans="2:29" ht="15" x14ac:dyDescent="0.2">
      <c r="B2272" s="8"/>
      <c r="K2272" s="8"/>
      <c r="T2272" s="8"/>
      <c r="AC2272" s="8"/>
    </row>
    <row r="2273" spans="2:29" ht="15" x14ac:dyDescent="0.2">
      <c r="B2273" s="8"/>
      <c r="K2273" s="8"/>
      <c r="T2273" s="8"/>
      <c r="AC2273" s="8"/>
    </row>
    <row r="2274" spans="2:29" ht="15" x14ac:dyDescent="0.2">
      <c r="B2274" s="8"/>
      <c r="K2274" s="8"/>
      <c r="T2274" s="8"/>
      <c r="AC2274" s="8"/>
    </row>
    <row r="2275" spans="2:29" ht="15" x14ac:dyDescent="0.2">
      <c r="B2275" s="8"/>
      <c r="K2275" s="8"/>
      <c r="T2275" s="8"/>
      <c r="AC2275" s="8"/>
    </row>
    <row r="2276" spans="2:29" ht="15" x14ac:dyDescent="0.2">
      <c r="B2276" s="8"/>
      <c r="K2276" s="8"/>
      <c r="T2276" s="8"/>
      <c r="AC2276" s="8"/>
    </row>
    <row r="2277" spans="2:29" ht="15" x14ac:dyDescent="0.2">
      <c r="B2277" s="8"/>
      <c r="K2277" s="8"/>
      <c r="T2277" s="8"/>
      <c r="AC2277" s="8"/>
    </row>
    <row r="2278" spans="2:29" ht="15" x14ac:dyDescent="0.2">
      <c r="B2278" s="8"/>
      <c r="K2278" s="8"/>
      <c r="T2278" s="8"/>
      <c r="AC2278" s="8"/>
    </row>
    <row r="2279" spans="2:29" ht="15" x14ac:dyDescent="0.2">
      <c r="B2279" s="8"/>
      <c r="K2279" s="8"/>
      <c r="T2279" s="8"/>
      <c r="AC2279" s="8"/>
    </row>
    <row r="2280" spans="2:29" ht="15" x14ac:dyDescent="0.2">
      <c r="B2280" s="8"/>
      <c r="K2280" s="8"/>
      <c r="T2280" s="8"/>
      <c r="AC2280" s="8"/>
    </row>
    <row r="2281" spans="2:29" ht="15" x14ac:dyDescent="0.2">
      <c r="B2281" s="8"/>
      <c r="K2281" s="8"/>
      <c r="T2281" s="8"/>
      <c r="AC2281" s="8"/>
    </row>
    <row r="2282" spans="2:29" ht="15" x14ac:dyDescent="0.2">
      <c r="B2282" s="8"/>
      <c r="K2282" s="8"/>
      <c r="T2282" s="8"/>
      <c r="AC2282" s="8"/>
    </row>
    <row r="2283" spans="2:29" ht="15" x14ac:dyDescent="0.2">
      <c r="B2283" s="8"/>
      <c r="K2283" s="8"/>
      <c r="T2283" s="8"/>
      <c r="AC2283" s="8"/>
    </row>
    <row r="2284" spans="2:29" ht="15" x14ac:dyDescent="0.2">
      <c r="B2284" s="8"/>
      <c r="K2284" s="8"/>
      <c r="T2284" s="8"/>
      <c r="AC2284" s="8"/>
    </row>
    <row r="2285" spans="2:29" ht="15" x14ac:dyDescent="0.2">
      <c r="B2285" s="8"/>
      <c r="K2285" s="8"/>
      <c r="T2285" s="8"/>
      <c r="AC2285" s="8"/>
    </row>
    <row r="2286" spans="2:29" ht="15" x14ac:dyDescent="0.2">
      <c r="B2286" s="8"/>
      <c r="K2286" s="8"/>
      <c r="T2286" s="8"/>
      <c r="AC2286" s="8"/>
    </row>
    <row r="2287" spans="2:29" ht="15" x14ac:dyDescent="0.2">
      <c r="B2287" s="8"/>
      <c r="K2287" s="8"/>
      <c r="T2287" s="8"/>
      <c r="AC2287" s="8"/>
    </row>
    <row r="2288" spans="2:29" ht="15" x14ac:dyDescent="0.2">
      <c r="B2288" s="8"/>
      <c r="K2288" s="8"/>
      <c r="T2288" s="8"/>
      <c r="AC2288" s="8"/>
    </row>
    <row r="2289" spans="2:29" ht="15" x14ac:dyDescent="0.2">
      <c r="B2289" s="8"/>
      <c r="K2289" s="8"/>
      <c r="T2289" s="8"/>
      <c r="AC2289" s="8"/>
    </row>
    <row r="2290" spans="2:29" ht="15" x14ac:dyDescent="0.2">
      <c r="B2290" s="8"/>
      <c r="K2290" s="8"/>
      <c r="T2290" s="8"/>
      <c r="AC2290" s="8"/>
    </row>
    <row r="2291" spans="2:29" ht="15" x14ac:dyDescent="0.2">
      <c r="B2291" s="8"/>
      <c r="K2291" s="8"/>
      <c r="T2291" s="8"/>
      <c r="AC2291" s="8"/>
    </row>
    <row r="2292" spans="2:29" ht="15" x14ac:dyDescent="0.2">
      <c r="B2292" s="8"/>
      <c r="K2292" s="8"/>
      <c r="T2292" s="8"/>
      <c r="AC2292" s="8"/>
    </row>
    <row r="2293" spans="2:29" ht="15" x14ac:dyDescent="0.2">
      <c r="B2293" s="8"/>
      <c r="K2293" s="8"/>
      <c r="T2293" s="8"/>
      <c r="AC2293" s="8"/>
    </row>
    <row r="2294" spans="2:29" ht="15" x14ac:dyDescent="0.2">
      <c r="B2294" s="8"/>
      <c r="K2294" s="8"/>
      <c r="T2294" s="8"/>
      <c r="AC2294" s="8"/>
    </row>
    <row r="2295" spans="2:29" ht="15" x14ac:dyDescent="0.2">
      <c r="B2295" s="8"/>
      <c r="K2295" s="8"/>
      <c r="T2295" s="8"/>
      <c r="AC2295" s="8"/>
    </row>
    <row r="2296" spans="2:29" ht="15" x14ac:dyDescent="0.2">
      <c r="B2296" s="8"/>
      <c r="K2296" s="8"/>
      <c r="T2296" s="8"/>
      <c r="AC2296" s="8"/>
    </row>
    <row r="2297" spans="2:29" ht="15" x14ac:dyDescent="0.2">
      <c r="B2297" s="8"/>
      <c r="K2297" s="8"/>
      <c r="T2297" s="8"/>
      <c r="AC2297" s="8"/>
    </row>
    <row r="2298" spans="2:29" ht="15" x14ac:dyDescent="0.2">
      <c r="B2298" s="8"/>
      <c r="K2298" s="8"/>
      <c r="T2298" s="8"/>
      <c r="AC2298" s="8"/>
    </row>
    <row r="2299" spans="2:29" ht="15" x14ac:dyDescent="0.2">
      <c r="B2299" s="8"/>
      <c r="K2299" s="8"/>
      <c r="T2299" s="8"/>
      <c r="AC2299" s="8"/>
    </row>
    <row r="2300" spans="2:29" ht="15" x14ac:dyDescent="0.2">
      <c r="B2300" s="8"/>
      <c r="K2300" s="8"/>
      <c r="T2300" s="8"/>
      <c r="AC2300" s="8"/>
    </row>
    <row r="2301" spans="2:29" ht="15" x14ac:dyDescent="0.2">
      <c r="B2301" s="8"/>
      <c r="K2301" s="8"/>
      <c r="T2301" s="8"/>
      <c r="AC2301" s="8"/>
    </row>
    <row r="2302" spans="2:29" ht="15" x14ac:dyDescent="0.2">
      <c r="B2302" s="8"/>
      <c r="K2302" s="8"/>
      <c r="T2302" s="8"/>
      <c r="AC2302" s="8"/>
    </row>
    <row r="2303" spans="2:29" ht="15" x14ac:dyDescent="0.2">
      <c r="B2303" s="8"/>
      <c r="K2303" s="8"/>
      <c r="T2303" s="8"/>
      <c r="AC2303" s="8"/>
    </row>
    <row r="2304" spans="2:29" ht="15" x14ac:dyDescent="0.2">
      <c r="B2304" s="8"/>
      <c r="K2304" s="8"/>
      <c r="T2304" s="8"/>
      <c r="AC2304" s="8"/>
    </row>
    <row r="2305" spans="2:29" ht="15" x14ac:dyDescent="0.2">
      <c r="B2305" s="8"/>
      <c r="K2305" s="8"/>
      <c r="T2305" s="8"/>
      <c r="AC2305" s="8"/>
    </row>
    <row r="2306" spans="2:29" ht="15" x14ac:dyDescent="0.2">
      <c r="B2306" s="8"/>
      <c r="K2306" s="8"/>
      <c r="T2306" s="8"/>
      <c r="AC2306" s="8"/>
    </row>
    <row r="2307" spans="2:29" ht="15" x14ac:dyDescent="0.2">
      <c r="B2307" s="8"/>
      <c r="K2307" s="8"/>
      <c r="T2307" s="8"/>
      <c r="AC2307" s="8"/>
    </row>
    <row r="2308" spans="2:29" ht="15" x14ac:dyDescent="0.2">
      <c r="B2308" s="8"/>
      <c r="K2308" s="8"/>
      <c r="T2308" s="8"/>
      <c r="AC2308" s="8"/>
    </row>
    <row r="2309" spans="2:29" ht="15" x14ac:dyDescent="0.2">
      <c r="B2309" s="8"/>
      <c r="K2309" s="8"/>
      <c r="T2309" s="8"/>
      <c r="AC2309" s="8"/>
    </row>
    <row r="2310" spans="2:29" ht="15" x14ac:dyDescent="0.2">
      <c r="B2310" s="8"/>
      <c r="K2310" s="8"/>
      <c r="T2310" s="8"/>
      <c r="AC2310" s="8"/>
    </row>
    <row r="2311" spans="2:29" ht="15" x14ac:dyDescent="0.2">
      <c r="B2311" s="8"/>
      <c r="K2311" s="8"/>
      <c r="T2311" s="8"/>
      <c r="AC2311" s="8"/>
    </row>
    <row r="2312" spans="2:29" ht="15" x14ac:dyDescent="0.2">
      <c r="B2312" s="8"/>
      <c r="K2312" s="8"/>
      <c r="T2312" s="8"/>
      <c r="AC2312" s="8"/>
    </row>
    <row r="2313" spans="2:29" ht="15" x14ac:dyDescent="0.2">
      <c r="B2313" s="8"/>
      <c r="K2313" s="8"/>
      <c r="T2313" s="8"/>
      <c r="AC2313" s="8"/>
    </row>
    <row r="2314" spans="2:29" ht="15" x14ac:dyDescent="0.2">
      <c r="B2314" s="8"/>
      <c r="K2314" s="8"/>
      <c r="T2314" s="8"/>
      <c r="AC2314" s="8"/>
    </row>
    <row r="2315" spans="2:29" ht="15" x14ac:dyDescent="0.2">
      <c r="B2315" s="8"/>
      <c r="K2315" s="8"/>
      <c r="T2315" s="8"/>
      <c r="AC2315" s="8"/>
    </row>
    <row r="2316" spans="2:29" ht="15" x14ac:dyDescent="0.2">
      <c r="B2316" s="8"/>
      <c r="K2316" s="8"/>
      <c r="T2316" s="8"/>
      <c r="AC2316" s="8"/>
    </row>
    <row r="2317" spans="2:29" ht="15" x14ac:dyDescent="0.2">
      <c r="B2317" s="8"/>
      <c r="K2317" s="8"/>
      <c r="T2317" s="8"/>
      <c r="AC2317" s="8"/>
    </row>
    <row r="2318" spans="2:29" ht="15" x14ac:dyDescent="0.2">
      <c r="B2318" s="8"/>
      <c r="K2318" s="8"/>
      <c r="T2318" s="8"/>
      <c r="AC2318" s="8"/>
    </row>
    <row r="2319" spans="2:29" ht="15" x14ac:dyDescent="0.2">
      <c r="B2319" s="8"/>
      <c r="K2319" s="8"/>
      <c r="T2319" s="8"/>
      <c r="AC2319" s="8"/>
    </row>
    <row r="2320" spans="2:29" ht="15" x14ac:dyDescent="0.2">
      <c r="B2320" s="8"/>
      <c r="K2320" s="8"/>
      <c r="T2320" s="8"/>
      <c r="AC2320" s="8"/>
    </row>
    <row r="2321" spans="2:29" ht="15" x14ac:dyDescent="0.2">
      <c r="B2321" s="8"/>
      <c r="K2321" s="8"/>
      <c r="T2321" s="8"/>
      <c r="AC2321" s="8"/>
    </row>
    <row r="2322" spans="2:29" ht="15" x14ac:dyDescent="0.2">
      <c r="B2322" s="8"/>
      <c r="K2322" s="8"/>
      <c r="T2322" s="8"/>
      <c r="AC2322" s="8"/>
    </row>
    <row r="2323" spans="2:29" ht="15" x14ac:dyDescent="0.2">
      <c r="B2323" s="8"/>
      <c r="K2323" s="8"/>
      <c r="T2323" s="8"/>
      <c r="AC2323" s="8"/>
    </row>
    <row r="2324" spans="2:29" ht="15" x14ac:dyDescent="0.2">
      <c r="B2324" s="8"/>
      <c r="K2324" s="8"/>
      <c r="T2324" s="8"/>
      <c r="AC2324" s="8"/>
    </row>
    <row r="2325" spans="2:29" ht="15" x14ac:dyDescent="0.2">
      <c r="B2325" s="8"/>
      <c r="K2325" s="8"/>
      <c r="T2325" s="8"/>
      <c r="AC2325" s="8"/>
    </row>
    <row r="2326" spans="2:29" ht="15" x14ac:dyDescent="0.2">
      <c r="B2326" s="8"/>
      <c r="K2326" s="8"/>
      <c r="T2326" s="8"/>
      <c r="AC2326" s="8"/>
    </row>
    <row r="2327" spans="2:29" ht="15" x14ac:dyDescent="0.2">
      <c r="B2327" s="8"/>
      <c r="K2327" s="8"/>
      <c r="T2327" s="8"/>
      <c r="AC2327" s="8"/>
    </row>
    <row r="2328" spans="2:29" ht="15" x14ac:dyDescent="0.2">
      <c r="B2328" s="8"/>
      <c r="K2328" s="8"/>
      <c r="T2328" s="8"/>
      <c r="AC2328" s="8"/>
    </row>
    <row r="2329" spans="2:29" ht="15" x14ac:dyDescent="0.2">
      <c r="B2329" s="8"/>
      <c r="K2329" s="8"/>
      <c r="T2329" s="8"/>
      <c r="AC2329" s="8"/>
    </row>
    <row r="2330" spans="2:29" ht="15" x14ac:dyDescent="0.2">
      <c r="B2330" s="8"/>
      <c r="K2330" s="8"/>
      <c r="T2330" s="8"/>
      <c r="AC2330" s="8"/>
    </row>
    <row r="2331" spans="2:29" ht="15" x14ac:dyDescent="0.2">
      <c r="B2331" s="8"/>
      <c r="K2331" s="8"/>
      <c r="T2331" s="8"/>
      <c r="AC2331" s="8"/>
    </row>
    <row r="2332" spans="2:29" ht="15" x14ac:dyDescent="0.2">
      <c r="B2332" s="8"/>
      <c r="K2332" s="8"/>
      <c r="T2332" s="8"/>
      <c r="AC2332" s="8"/>
    </row>
    <row r="2333" spans="2:29" ht="15" x14ac:dyDescent="0.2">
      <c r="B2333" s="8"/>
      <c r="K2333" s="8"/>
      <c r="T2333" s="8"/>
      <c r="AC2333" s="8"/>
    </row>
    <row r="2334" spans="2:29" ht="15" x14ac:dyDescent="0.2">
      <c r="B2334" s="8"/>
      <c r="K2334" s="8"/>
      <c r="T2334" s="8"/>
      <c r="AC2334" s="8"/>
    </row>
    <row r="2335" spans="2:29" ht="15" x14ac:dyDescent="0.2">
      <c r="B2335" s="8"/>
      <c r="K2335" s="8"/>
      <c r="T2335" s="8"/>
      <c r="AC2335" s="8"/>
    </row>
    <row r="2336" spans="2:29" ht="15" x14ac:dyDescent="0.2">
      <c r="B2336" s="8"/>
      <c r="K2336" s="8"/>
      <c r="T2336" s="8"/>
      <c r="AC2336" s="8"/>
    </row>
    <row r="2337" spans="2:29" ht="15" x14ac:dyDescent="0.2">
      <c r="B2337" s="8"/>
      <c r="K2337" s="8"/>
      <c r="T2337" s="8"/>
      <c r="AC2337" s="8"/>
    </row>
    <row r="2338" spans="2:29" ht="15" x14ac:dyDescent="0.2">
      <c r="B2338" s="8"/>
      <c r="K2338" s="8"/>
      <c r="T2338" s="8"/>
      <c r="AC2338" s="8"/>
    </row>
    <row r="2339" spans="2:29" ht="15" x14ac:dyDescent="0.2">
      <c r="B2339" s="8"/>
      <c r="K2339" s="8"/>
      <c r="T2339" s="8"/>
      <c r="AC2339" s="8"/>
    </row>
    <row r="2340" spans="2:29" ht="15" x14ac:dyDescent="0.2">
      <c r="B2340" s="8"/>
      <c r="K2340" s="8"/>
      <c r="T2340" s="8"/>
      <c r="AC2340" s="8"/>
    </row>
    <row r="2341" spans="2:29" ht="15" x14ac:dyDescent="0.2">
      <c r="B2341" s="8"/>
      <c r="K2341" s="8"/>
      <c r="T2341" s="8"/>
      <c r="AC2341" s="8"/>
    </row>
    <row r="2342" spans="2:29" ht="15" x14ac:dyDescent="0.2">
      <c r="B2342" s="8"/>
      <c r="K2342" s="8"/>
      <c r="T2342" s="8"/>
      <c r="AC2342" s="8"/>
    </row>
    <row r="2343" spans="2:29" ht="15" x14ac:dyDescent="0.2">
      <c r="B2343" s="8"/>
      <c r="K2343" s="8"/>
      <c r="T2343" s="8"/>
      <c r="AC2343" s="8"/>
    </row>
    <row r="2344" spans="2:29" ht="15" x14ac:dyDescent="0.2">
      <c r="B2344" s="8"/>
      <c r="K2344" s="8"/>
      <c r="T2344" s="8"/>
      <c r="AC2344" s="8"/>
    </row>
    <row r="2345" spans="2:29" ht="15" x14ac:dyDescent="0.2">
      <c r="B2345" s="8"/>
      <c r="K2345" s="8"/>
      <c r="T2345" s="8"/>
      <c r="AC2345" s="8"/>
    </row>
    <row r="2346" spans="2:29" ht="15" x14ac:dyDescent="0.2">
      <c r="B2346" s="8"/>
      <c r="K2346" s="8"/>
      <c r="T2346" s="8"/>
      <c r="AC2346" s="8"/>
    </row>
    <row r="2347" spans="2:29" ht="15" x14ac:dyDescent="0.2">
      <c r="B2347" s="8"/>
      <c r="K2347" s="8"/>
      <c r="T2347" s="8"/>
      <c r="AC2347" s="8"/>
    </row>
    <row r="2348" spans="2:29" ht="15" x14ac:dyDescent="0.2">
      <c r="B2348" s="8"/>
      <c r="K2348" s="8"/>
      <c r="T2348" s="8"/>
      <c r="AC2348" s="8"/>
    </row>
    <row r="2349" spans="2:29" ht="15" x14ac:dyDescent="0.2">
      <c r="B2349" s="8"/>
      <c r="K2349" s="8"/>
      <c r="T2349" s="8"/>
      <c r="AC2349" s="8"/>
    </row>
    <row r="2350" spans="2:29" ht="15" x14ac:dyDescent="0.2">
      <c r="B2350" s="8"/>
      <c r="K2350" s="8"/>
      <c r="T2350" s="8"/>
      <c r="AC2350" s="8"/>
    </row>
    <row r="2351" spans="2:29" ht="15" x14ac:dyDescent="0.2">
      <c r="B2351" s="8"/>
      <c r="K2351" s="8"/>
      <c r="T2351" s="8"/>
      <c r="AC2351" s="8"/>
    </row>
    <row r="2352" spans="2:29" ht="15" x14ac:dyDescent="0.2">
      <c r="B2352" s="8"/>
      <c r="K2352" s="8"/>
      <c r="T2352" s="8"/>
      <c r="AC2352" s="8"/>
    </row>
    <row r="2353" spans="2:29" ht="15" x14ac:dyDescent="0.2">
      <c r="B2353" s="8"/>
      <c r="K2353" s="8"/>
      <c r="T2353" s="8"/>
      <c r="AC2353" s="8"/>
    </row>
    <row r="2354" spans="2:29" ht="15" x14ac:dyDescent="0.2">
      <c r="B2354" s="8"/>
      <c r="K2354" s="8"/>
      <c r="T2354" s="8"/>
      <c r="AC2354" s="8"/>
    </row>
    <row r="2355" spans="2:29" ht="15" x14ac:dyDescent="0.2">
      <c r="B2355" s="8"/>
      <c r="K2355" s="8"/>
      <c r="T2355" s="8"/>
      <c r="AC2355" s="8"/>
    </row>
    <row r="2356" spans="2:29" ht="15" x14ac:dyDescent="0.2">
      <c r="B2356" s="8"/>
      <c r="K2356" s="8"/>
      <c r="T2356" s="8"/>
      <c r="AC2356" s="8"/>
    </row>
    <row r="2357" spans="2:29" ht="15" x14ac:dyDescent="0.2">
      <c r="B2357" s="8"/>
      <c r="K2357" s="8"/>
      <c r="T2357" s="8"/>
      <c r="AC2357" s="8"/>
    </row>
    <row r="2358" spans="2:29" ht="15" x14ac:dyDescent="0.2">
      <c r="B2358" s="8"/>
      <c r="K2358" s="8"/>
      <c r="T2358" s="8"/>
      <c r="AC2358" s="8"/>
    </row>
    <row r="2359" spans="2:29" ht="15" x14ac:dyDescent="0.2">
      <c r="B2359" s="8"/>
      <c r="K2359" s="8"/>
      <c r="T2359" s="8"/>
      <c r="AC2359" s="8"/>
    </row>
    <row r="2360" spans="2:29" ht="15" x14ac:dyDescent="0.2">
      <c r="B2360" s="8"/>
      <c r="K2360" s="8"/>
      <c r="T2360" s="8"/>
      <c r="AC2360" s="8"/>
    </row>
    <row r="2361" spans="2:29" ht="15" x14ac:dyDescent="0.2">
      <c r="B2361" s="8"/>
      <c r="K2361" s="8"/>
      <c r="T2361" s="8"/>
      <c r="AC2361" s="8"/>
    </row>
    <row r="2362" spans="2:29" ht="15" x14ac:dyDescent="0.2">
      <c r="B2362" s="8"/>
      <c r="K2362" s="8"/>
      <c r="T2362" s="8"/>
      <c r="AC2362" s="8"/>
    </row>
    <row r="2363" spans="2:29" ht="15" x14ac:dyDescent="0.2">
      <c r="B2363" s="8"/>
      <c r="K2363" s="8"/>
      <c r="T2363" s="8"/>
      <c r="AC2363" s="8"/>
    </row>
    <row r="2364" spans="2:29" ht="15" x14ac:dyDescent="0.2">
      <c r="B2364" s="8"/>
      <c r="K2364" s="8"/>
      <c r="T2364" s="8"/>
      <c r="AC2364" s="8"/>
    </row>
    <row r="2365" spans="2:29" ht="15" x14ac:dyDescent="0.2">
      <c r="B2365" s="8"/>
      <c r="K2365" s="8"/>
      <c r="T2365" s="8"/>
      <c r="AC2365" s="8"/>
    </row>
    <row r="2366" spans="2:29" ht="15" x14ac:dyDescent="0.2">
      <c r="B2366" s="8"/>
      <c r="K2366" s="8"/>
      <c r="T2366" s="8"/>
      <c r="AC2366" s="8"/>
    </row>
    <row r="2367" spans="2:29" ht="15" x14ac:dyDescent="0.2">
      <c r="B2367" s="8"/>
      <c r="K2367" s="8"/>
      <c r="T2367" s="8"/>
      <c r="AC2367" s="8"/>
    </row>
    <row r="2368" spans="2:29" ht="15" x14ac:dyDescent="0.2">
      <c r="B2368" s="8"/>
      <c r="K2368" s="8"/>
      <c r="T2368" s="8"/>
      <c r="AC2368" s="8"/>
    </row>
    <row r="2369" spans="2:29" ht="15" x14ac:dyDescent="0.2">
      <c r="B2369" s="8"/>
      <c r="K2369" s="8"/>
      <c r="T2369" s="8"/>
      <c r="AC2369" s="8"/>
    </row>
    <row r="2370" spans="2:29" ht="15" x14ac:dyDescent="0.2">
      <c r="B2370" s="8"/>
      <c r="K2370" s="8"/>
      <c r="T2370" s="8"/>
      <c r="AC2370" s="8"/>
    </row>
    <row r="2371" spans="2:29" ht="15" x14ac:dyDescent="0.2">
      <c r="B2371" s="8"/>
      <c r="K2371" s="8"/>
      <c r="T2371" s="8"/>
      <c r="AC2371" s="8"/>
    </row>
    <row r="2372" spans="2:29" ht="15" x14ac:dyDescent="0.2">
      <c r="B2372" s="8"/>
      <c r="K2372" s="8"/>
      <c r="T2372" s="8"/>
      <c r="AC2372" s="8"/>
    </row>
    <row r="2373" spans="2:29" ht="15" x14ac:dyDescent="0.2">
      <c r="B2373" s="8"/>
      <c r="K2373" s="8"/>
      <c r="T2373" s="8"/>
      <c r="AC2373" s="8"/>
    </row>
    <row r="2374" spans="2:29" ht="15" x14ac:dyDescent="0.2">
      <c r="B2374" s="8"/>
      <c r="K2374" s="8"/>
      <c r="T2374" s="8"/>
      <c r="AC2374" s="8"/>
    </row>
    <row r="2375" spans="2:29" ht="15" x14ac:dyDescent="0.2">
      <c r="B2375" s="8"/>
      <c r="K2375" s="8"/>
      <c r="T2375" s="8"/>
      <c r="AC2375" s="8"/>
    </row>
    <row r="2376" spans="2:29" ht="15" x14ac:dyDescent="0.2">
      <c r="B2376" s="8"/>
      <c r="K2376" s="8"/>
      <c r="T2376" s="8"/>
      <c r="AC2376" s="8"/>
    </row>
    <row r="2377" spans="2:29" ht="15" x14ac:dyDescent="0.2">
      <c r="B2377" s="8"/>
      <c r="K2377" s="8"/>
      <c r="T2377" s="8"/>
      <c r="AC2377" s="8"/>
    </row>
    <row r="2378" spans="2:29" ht="15" x14ac:dyDescent="0.2">
      <c r="B2378" s="8"/>
      <c r="K2378" s="8"/>
      <c r="T2378" s="8"/>
      <c r="AC2378" s="8"/>
    </row>
    <row r="2379" spans="2:29" ht="15" x14ac:dyDescent="0.2">
      <c r="B2379" s="8"/>
      <c r="K2379" s="8"/>
      <c r="T2379" s="8"/>
      <c r="AC2379" s="8"/>
    </row>
    <row r="2380" spans="2:29" ht="15" x14ac:dyDescent="0.2">
      <c r="B2380" s="8"/>
      <c r="K2380" s="8"/>
      <c r="T2380" s="8"/>
      <c r="AC2380" s="8"/>
    </row>
    <row r="2381" spans="2:29" ht="15" x14ac:dyDescent="0.2">
      <c r="B2381" s="8"/>
      <c r="K2381" s="8"/>
      <c r="T2381" s="8"/>
      <c r="AC2381" s="8"/>
    </row>
    <row r="2382" spans="2:29" ht="15" x14ac:dyDescent="0.2">
      <c r="B2382" s="8"/>
      <c r="K2382" s="8"/>
      <c r="T2382" s="8"/>
      <c r="AC2382" s="8"/>
    </row>
    <row r="2383" spans="2:29" ht="15" x14ac:dyDescent="0.2">
      <c r="B2383" s="8"/>
      <c r="K2383" s="8"/>
      <c r="T2383" s="8"/>
      <c r="AC2383" s="8"/>
    </row>
    <row r="2384" spans="2:29" ht="15" x14ac:dyDescent="0.2">
      <c r="B2384" s="8"/>
      <c r="K2384" s="8"/>
      <c r="T2384" s="8"/>
      <c r="AC2384" s="8"/>
    </row>
    <row r="2385" spans="2:29" ht="15" x14ac:dyDescent="0.2">
      <c r="B2385" s="8"/>
      <c r="K2385" s="8"/>
      <c r="T2385" s="8"/>
      <c r="AC2385" s="8"/>
    </row>
    <row r="2386" spans="2:29" ht="15" x14ac:dyDescent="0.2">
      <c r="B2386" s="8"/>
      <c r="K2386" s="8"/>
      <c r="T2386" s="8"/>
      <c r="AC2386" s="8"/>
    </row>
    <row r="2387" spans="2:29" ht="15" x14ac:dyDescent="0.2">
      <c r="B2387" s="8"/>
      <c r="K2387" s="8"/>
      <c r="T2387" s="8"/>
      <c r="AC2387" s="8"/>
    </row>
    <row r="2388" spans="2:29" ht="15" x14ac:dyDescent="0.2">
      <c r="B2388" s="8"/>
      <c r="K2388" s="8"/>
      <c r="T2388" s="8"/>
      <c r="AC2388" s="8"/>
    </row>
    <row r="2389" spans="2:29" ht="15" x14ac:dyDescent="0.2">
      <c r="B2389" s="8"/>
      <c r="K2389" s="8"/>
      <c r="T2389" s="8"/>
      <c r="AC2389" s="8"/>
    </row>
    <row r="2390" spans="2:29" ht="15" x14ac:dyDescent="0.2">
      <c r="B2390" s="8"/>
      <c r="K2390" s="8"/>
      <c r="T2390" s="8"/>
      <c r="AC2390" s="8"/>
    </row>
    <row r="2391" spans="2:29" ht="15" x14ac:dyDescent="0.2">
      <c r="B2391" s="8"/>
      <c r="K2391" s="8"/>
      <c r="T2391" s="8"/>
      <c r="AC2391" s="8"/>
    </row>
    <row r="2392" spans="2:29" ht="15" x14ac:dyDescent="0.2">
      <c r="B2392" s="8"/>
      <c r="K2392" s="8"/>
      <c r="T2392" s="8"/>
      <c r="AC2392" s="8"/>
    </row>
    <row r="2393" spans="2:29" ht="15" x14ac:dyDescent="0.2">
      <c r="B2393" s="8"/>
      <c r="K2393" s="8"/>
      <c r="T2393" s="8"/>
      <c r="AC2393" s="8"/>
    </row>
    <row r="2394" spans="2:29" ht="15" x14ac:dyDescent="0.2">
      <c r="B2394" s="8"/>
      <c r="K2394" s="8"/>
      <c r="T2394" s="8"/>
      <c r="AC2394" s="8"/>
    </row>
    <row r="2395" spans="2:29" ht="15" x14ac:dyDescent="0.2">
      <c r="B2395" s="8"/>
      <c r="K2395" s="8"/>
      <c r="T2395" s="8"/>
      <c r="AC2395" s="8"/>
    </row>
    <row r="2396" spans="2:29" ht="15" x14ac:dyDescent="0.2">
      <c r="B2396" s="8"/>
      <c r="K2396" s="8"/>
      <c r="T2396" s="8"/>
      <c r="AC2396" s="8"/>
    </row>
    <row r="2397" spans="2:29" ht="15" x14ac:dyDescent="0.2">
      <c r="B2397" s="8"/>
      <c r="K2397" s="8"/>
      <c r="T2397" s="8"/>
      <c r="AC2397" s="8"/>
    </row>
    <row r="2398" spans="2:29" ht="15" x14ac:dyDescent="0.2">
      <c r="B2398" s="8"/>
      <c r="K2398" s="8"/>
      <c r="T2398" s="8"/>
      <c r="AC2398" s="8"/>
    </row>
    <row r="2399" spans="2:29" ht="15" x14ac:dyDescent="0.2">
      <c r="B2399" s="8"/>
      <c r="K2399" s="8"/>
      <c r="T2399" s="8"/>
      <c r="AC2399" s="8"/>
    </row>
    <row r="2400" spans="2:29" ht="15" x14ac:dyDescent="0.2">
      <c r="B2400" s="8"/>
      <c r="K2400" s="8"/>
      <c r="T2400" s="8"/>
      <c r="AC2400" s="8"/>
    </row>
    <row r="2401" spans="2:29" ht="15" x14ac:dyDescent="0.2">
      <c r="B2401" s="8"/>
      <c r="K2401" s="8"/>
      <c r="T2401" s="8"/>
      <c r="AC2401" s="8"/>
    </row>
    <row r="2402" spans="2:29" ht="15" x14ac:dyDescent="0.2">
      <c r="B2402" s="8"/>
      <c r="K2402" s="8"/>
      <c r="T2402" s="8"/>
      <c r="AC2402" s="8"/>
    </row>
    <row r="2403" spans="2:29" ht="15" x14ac:dyDescent="0.2">
      <c r="B2403" s="8"/>
      <c r="K2403" s="8"/>
      <c r="T2403" s="8"/>
      <c r="AC2403" s="8"/>
    </row>
    <row r="2404" spans="2:29" ht="15" x14ac:dyDescent="0.2">
      <c r="B2404" s="8"/>
      <c r="K2404" s="8"/>
      <c r="T2404" s="8"/>
      <c r="AC2404" s="8"/>
    </row>
    <row r="2405" spans="2:29" ht="15" x14ac:dyDescent="0.2">
      <c r="B2405" s="8"/>
      <c r="K2405" s="8"/>
      <c r="T2405" s="8"/>
      <c r="AC2405" s="8"/>
    </row>
    <row r="2406" spans="2:29" ht="15" x14ac:dyDescent="0.2">
      <c r="B2406" s="8"/>
      <c r="K2406" s="8"/>
      <c r="T2406" s="8"/>
      <c r="AC2406" s="8"/>
    </row>
    <row r="2407" spans="2:29" ht="15" x14ac:dyDescent="0.2">
      <c r="B2407" s="8"/>
      <c r="K2407" s="8"/>
      <c r="T2407" s="8"/>
      <c r="AC2407" s="8"/>
    </row>
    <row r="2408" spans="2:29" ht="15" x14ac:dyDescent="0.2">
      <c r="B2408" s="8"/>
      <c r="K2408" s="8"/>
      <c r="T2408" s="8"/>
      <c r="AC2408" s="8"/>
    </row>
    <row r="2409" spans="2:29" ht="15" x14ac:dyDescent="0.2">
      <c r="B2409" s="8"/>
      <c r="K2409" s="8"/>
      <c r="T2409" s="8"/>
      <c r="AC2409" s="8"/>
    </row>
    <row r="2410" spans="2:29" ht="15" x14ac:dyDescent="0.2">
      <c r="B2410" s="8"/>
      <c r="K2410" s="8"/>
      <c r="T2410" s="8"/>
      <c r="AC2410" s="8"/>
    </row>
    <row r="2411" spans="2:29" ht="15" x14ac:dyDescent="0.2">
      <c r="B2411" s="8"/>
      <c r="K2411" s="8"/>
      <c r="T2411" s="8"/>
      <c r="AC2411" s="8"/>
    </row>
    <row r="2412" spans="2:29" ht="15" x14ac:dyDescent="0.2">
      <c r="B2412" s="8"/>
      <c r="K2412" s="8"/>
      <c r="T2412" s="8"/>
      <c r="AC2412" s="8"/>
    </row>
    <row r="2413" spans="2:29" ht="15" x14ac:dyDescent="0.2">
      <c r="B2413" s="8"/>
      <c r="K2413" s="8"/>
      <c r="T2413" s="8"/>
      <c r="AC2413" s="8"/>
    </row>
    <row r="2414" spans="2:29" ht="15" x14ac:dyDescent="0.2">
      <c r="B2414" s="8"/>
      <c r="K2414" s="8"/>
      <c r="T2414" s="8"/>
      <c r="AC2414" s="8"/>
    </row>
    <row r="2415" spans="2:29" ht="15" x14ac:dyDescent="0.2">
      <c r="B2415" s="8"/>
      <c r="K2415" s="8"/>
      <c r="T2415" s="8"/>
      <c r="AC2415" s="8"/>
    </row>
    <row r="2416" spans="2:29" ht="15" x14ac:dyDescent="0.2">
      <c r="B2416" s="8"/>
      <c r="K2416" s="8"/>
      <c r="T2416" s="8"/>
      <c r="AC2416" s="8"/>
    </row>
    <row r="2417" spans="2:29" ht="15" x14ac:dyDescent="0.2">
      <c r="B2417" s="8"/>
      <c r="K2417" s="8"/>
      <c r="T2417" s="8"/>
      <c r="AC2417" s="8"/>
    </row>
    <row r="2418" spans="2:29" ht="15" x14ac:dyDescent="0.2">
      <c r="B2418" s="8"/>
      <c r="K2418" s="8"/>
      <c r="T2418" s="8"/>
      <c r="AC2418" s="8"/>
    </row>
    <row r="2419" spans="2:29" ht="15" x14ac:dyDescent="0.2">
      <c r="B2419" s="8"/>
      <c r="K2419" s="8"/>
      <c r="T2419" s="8"/>
      <c r="AC2419" s="8"/>
    </row>
    <row r="2420" spans="2:29" ht="15" x14ac:dyDescent="0.2">
      <c r="B2420" s="8"/>
      <c r="K2420" s="8"/>
      <c r="T2420" s="8"/>
      <c r="AC2420" s="8"/>
    </row>
    <row r="2421" spans="2:29" ht="15" x14ac:dyDescent="0.2">
      <c r="B2421" s="8"/>
      <c r="K2421" s="8"/>
      <c r="T2421" s="8"/>
      <c r="AC2421" s="8"/>
    </row>
    <row r="2422" spans="2:29" ht="15" x14ac:dyDescent="0.2">
      <c r="B2422" s="8"/>
      <c r="K2422" s="8"/>
      <c r="T2422" s="8"/>
      <c r="AC2422" s="8"/>
    </row>
    <row r="2423" spans="2:29" ht="15" x14ac:dyDescent="0.2">
      <c r="B2423" s="8"/>
      <c r="K2423" s="8"/>
      <c r="T2423" s="8"/>
      <c r="AC2423" s="8"/>
    </row>
    <row r="2424" spans="2:29" ht="15" x14ac:dyDescent="0.2">
      <c r="B2424" s="8"/>
      <c r="K2424" s="8"/>
      <c r="T2424" s="8"/>
      <c r="AC2424" s="8"/>
    </row>
    <row r="2425" spans="2:29" ht="15" x14ac:dyDescent="0.2">
      <c r="B2425" s="8"/>
      <c r="K2425" s="8"/>
      <c r="T2425" s="8"/>
      <c r="AC2425" s="8"/>
    </row>
    <row r="2426" spans="2:29" ht="15" x14ac:dyDescent="0.2">
      <c r="B2426" s="8"/>
      <c r="K2426" s="8"/>
      <c r="T2426" s="8"/>
      <c r="AC2426" s="8"/>
    </row>
    <row r="2427" spans="2:29" ht="15" x14ac:dyDescent="0.2">
      <c r="B2427" s="8"/>
      <c r="K2427" s="8"/>
      <c r="T2427" s="8"/>
      <c r="AC2427" s="8"/>
    </row>
    <row r="2428" spans="2:29" ht="15" x14ac:dyDescent="0.2">
      <c r="B2428" s="8"/>
      <c r="K2428" s="8"/>
      <c r="T2428" s="8"/>
      <c r="AC2428" s="8"/>
    </row>
    <row r="2429" spans="2:29" ht="15" x14ac:dyDescent="0.2">
      <c r="B2429" s="8"/>
      <c r="K2429" s="8"/>
      <c r="T2429" s="8"/>
      <c r="AC2429" s="8"/>
    </row>
    <row r="2430" spans="2:29" ht="15" x14ac:dyDescent="0.2">
      <c r="B2430" s="8"/>
      <c r="K2430" s="8"/>
      <c r="T2430" s="8"/>
      <c r="AC2430" s="8"/>
    </row>
    <row r="2431" spans="2:29" ht="15" x14ac:dyDescent="0.2">
      <c r="B2431" s="8"/>
      <c r="K2431" s="8"/>
      <c r="T2431" s="8"/>
      <c r="AC2431" s="8"/>
    </row>
    <row r="2432" spans="2:29" ht="15" x14ac:dyDescent="0.2">
      <c r="B2432" s="8"/>
      <c r="K2432" s="8"/>
      <c r="T2432" s="8"/>
      <c r="AC2432" s="8"/>
    </row>
    <row r="2433" spans="2:29" ht="15" x14ac:dyDescent="0.2">
      <c r="B2433" s="8"/>
      <c r="K2433" s="8"/>
      <c r="T2433" s="8"/>
      <c r="AC2433" s="8"/>
    </row>
    <row r="2434" spans="2:29" ht="15" x14ac:dyDescent="0.2">
      <c r="B2434" s="8"/>
      <c r="K2434" s="8"/>
      <c r="T2434" s="8"/>
      <c r="AC2434" s="8"/>
    </row>
    <row r="2435" spans="2:29" ht="15" x14ac:dyDescent="0.2">
      <c r="B2435" s="8"/>
      <c r="K2435" s="8"/>
      <c r="T2435" s="8"/>
      <c r="AC2435" s="8"/>
    </row>
    <row r="2436" spans="2:29" ht="15" x14ac:dyDescent="0.2">
      <c r="B2436" s="8"/>
      <c r="K2436" s="8"/>
      <c r="T2436" s="8"/>
      <c r="AC2436" s="8"/>
    </row>
    <row r="2437" spans="2:29" ht="15" x14ac:dyDescent="0.2">
      <c r="B2437" s="8"/>
      <c r="K2437" s="8"/>
      <c r="T2437" s="8"/>
      <c r="AC2437" s="8"/>
    </row>
    <row r="2438" spans="2:29" ht="15" x14ac:dyDescent="0.2">
      <c r="B2438" s="8"/>
      <c r="K2438" s="8"/>
      <c r="T2438" s="8"/>
      <c r="AC2438" s="8"/>
    </row>
    <row r="2439" spans="2:29" ht="15" x14ac:dyDescent="0.2">
      <c r="B2439" s="8"/>
      <c r="K2439" s="8"/>
      <c r="T2439" s="8"/>
      <c r="AC2439" s="8"/>
    </row>
    <row r="2440" spans="2:29" ht="15" x14ac:dyDescent="0.2">
      <c r="B2440" s="8"/>
      <c r="K2440" s="8"/>
      <c r="T2440" s="8"/>
      <c r="AC2440" s="8"/>
    </row>
    <row r="2441" spans="2:29" ht="15" x14ac:dyDescent="0.2">
      <c r="B2441" s="8"/>
      <c r="K2441" s="8"/>
      <c r="T2441" s="8"/>
      <c r="AC2441" s="8"/>
    </row>
    <row r="2442" spans="2:29" ht="15" x14ac:dyDescent="0.2">
      <c r="B2442" s="8"/>
      <c r="K2442" s="8"/>
      <c r="T2442" s="8"/>
      <c r="AC2442" s="8"/>
    </row>
    <row r="2443" spans="2:29" ht="15" x14ac:dyDescent="0.2">
      <c r="B2443" s="8"/>
      <c r="K2443" s="8"/>
      <c r="T2443" s="8"/>
      <c r="AC2443" s="8"/>
    </row>
    <row r="2444" spans="2:29" ht="15" x14ac:dyDescent="0.2">
      <c r="B2444" s="8"/>
      <c r="K2444" s="8"/>
      <c r="T2444" s="8"/>
      <c r="AC2444" s="8"/>
    </row>
    <row r="2445" spans="2:29" ht="15" x14ac:dyDescent="0.2">
      <c r="B2445" s="8"/>
      <c r="K2445" s="8"/>
      <c r="T2445" s="8"/>
      <c r="AC2445" s="8"/>
    </row>
    <row r="2446" spans="2:29" ht="15" x14ac:dyDescent="0.2">
      <c r="B2446" s="8"/>
      <c r="K2446" s="8"/>
      <c r="T2446" s="8"/>
      <c r="AC2446" s="8"/>
    </row>
    <row r="2447" spans="2:29" ht="15" x14ac:dyDescent="0.2">
      <c r="B2447" s="8"/>
      <c r="K2447" s="8"/>
      <c r="T2447" s="8"/>
      <c r="AC2447" s="8"/>
    </row>
    <row r="2448" spans="2:29" ht="15" x14ac:dyDescent="0.2">
      <c r="B2448" s="8"/>
      <c r="K2448" s="8"/>
      <c r="T2448" s="8"/>
      <c r="AC2448" s="8"/>
    </row>
    <row r="2449" spans="2:29" ht="15" x14ac:dyDescent="0.2">
      <c r="B2449" s="8"/>
      <c r="K2449" s="8"/>
      <c r="T2449" s="8"/>
      <c r="AC2449" s="8"/>
    </row>
    <row r="2450" spans="2:29" ht="15" x14ac:dyDescent="0.2">
      <c r="B2450" s="8"/>
      <c r="K2450" s="8"/>
      <c r="T2450" s="8"/>
      <c r="AC2450" s="8"/>
    </row>
    <row r="2451" spans="2:29" ht="15" x14ac:dyDescent="0.2">
      <c r="B2451" s="8"/>
      <c r="K2451" s="8"/>
      <c r="T2451" s="8"/>
      <c r="AC2451" s="8"/>
    </row>
    <row r="2452" spans="2:29" ht="15" x14ac:dyDescent="0.2">
      <c r="B2452" s="8"/>
      <c r="K2452" s="8"/>
      <c r="T2452" s="8"/>
      <c r="AC2452" s="8"/>
    </row>
    <row r="2453" spans="2:29" ht="15" x14ac:dyDescent="0.2">
      <c r="B2453" s="8"/>
      <c r="K2453" s="8"/>
      <c r="T2453" s="8"/>
      <c r="AC2453" s="8"/>
    </row>
    <row r="2454" spans="2:29" ht="15" x14ac:dyDescent="0.2">
      <c r="B2454" s="8"/>
      <c r="K2454" s="8"/>
      <c r="T2454" s="8"/>
      <c r="AC2454" s="8"/>
    </row>
    <row r="2455" spans="2:29" ht="15" x14ac:dyDescent="0.2">
      <c r="B2455" s="8"/>
      <c r="K2455" s="8"/>
      <c r="T2455" s="8"/>
      <c r="AC2455" s="8"/>
    </row>
    <row r="2456" spans="2:29" ht="15" x14ac:dyDescent="0.2">
      <c r="B2456" s="8"/>
      <c r="K2456" s="8"/>
      <c r="T2456" s="8"/>
      <c r="AC2456" s="8"/>
    </row>
    <row r="2457" spans="2:29" ht="15" x14ac:dyDescent="0.2">
      <c r="B2457" s="8"/>
      <c r="K2457" s="8"/>
      <c r="T2457" s="8"/>
      <c r="AC2457" s="8"/>
    </row>
    <row r="2458" spans="2:29" ht="15" x14ac:dyDescent="0.2">
      <c r="B2458" s="8"/>
      <c r="K2458" s="8"/>
      <c r="T2458" s="8"/>
      <c r="AC2458" s="8"/>
    </row>
    <row r="2459" spans="2:29" ht="15" x14ac:dyDescent="0.2">
      <c r="B2459" s="8"/>
      <c r="K2459" s="8"/>
      <c r="T2459" s="8"/>
      <c r="AC2459" s="8"/>
    </row>
    <row r="2460" spans="2:29" ht="15" x14ac:dyDescent="0.2">
      <c r="B2460" s="8"/>
      <c r="K2460" s="8"/>
      <c r="T2460" s="8"/>
      <c r="AC2460" s="8"/>
    </row>
    <row r="2461" spans="2:29" ht="15" x14ac:dyDescent="0.2">
      <c r="B2461" s="8"/>
      <c r="K2461" s="8"/>
      <c r="T2461" s="8"/>
      <c r="AC2461" s="8"/>
    </row>
    <row r="2462" spans="2:29" ht="15" x14ac:dyDescent="0.2">
      <c r="B2462" s="8"/>
      <c r="K2462" s="8"/>
      <c r="T2462" s="8"/>
      <c r="AC2462" s="8"/>
    </row>
    <row r="2463" spans="2:29" ht="15" x14ac:dyDescent="0.2">
      <c r="B2463" s="8"/>
      <c r="K2463" s="8"/>
      <c r="T2463" s="8"/>
      <c r="AC2463" s="8"/>
    </row>
    <row r="2464" spans="2:29" ht="15" x14ac:dyDescent="0.2">
      <c r="B2464" s="8"/>
      <c r="K2464" s="8"/>
      <c r="T2464" s="8"/>
      <c r="AC2464" s="8"/>
    </row>
    <row r="2465" spans="2:29" ht="15" x14ac:dyDescent="0.2">
      <c r="B2465" s="8"/>
      <c r="K2465" s="8"/>
      <c r="T2465" s="8"/>
      <c r="AC2465" s="8"/>
    </row>
    <row r="2466" spans="2:29" ht="15" x14ac:dyDescent="0.2">
      <c r="B2466" s="8"/>
      <c r="K2466" s="8"/>
      <c r="T2466" s="8"/>
      <c r="AC2466" s="8"/>
    </row>
    <row r="2467" spans="2:29" ht="15" x14ac:dyDescent="0.2">
      <c r="B2467" s="8"/>
      <c r="K2467" s="8"/>
      <c r="T2467" s="8"/>
      <c r="AC2467" s="8"/>
    </row>
    <row r="2468" spans="2:29" ht="15" x14ac:dyDescent="0.2">
      <c r="B2468" s="8"/>
      <c r="K2468" s="8"/>
      <c r="T2468" s="8"/>
      <c r="AC2468" s="8"/>
    </row>
    <row r="2469" spans="2:29" ht="15" x14ac:dyDescent="0.2">
      <c r="B2469" s="8"/>
      <c r="K2469" s="8"/>
      <c r="T2469" s="8"/>
      <c r="AC2469" s="8"/>
    </row>
    <row r="2470" spans="2:29" ht="15" x14ac:dyDescent="0.2">
      <c r="B2470" s="8"/>
      <c r="K2470" s="8"/>
      <c r="T2470" s="8"/>
      <c r="AC2470" s="8"/>
    </row>
    <row r="2471" spans="2:29" ht="15" x14ac:dyDescent="0.2">
      <c r="B2471" s="8"/>
      <c r="K2471" s="8"/>
      <c r="T2471" s="8"/>
      <c r="AC2471" s="8"/>
    </row>
    <row r="2472" spans="2:29" ht="15" x14ac:dyDescent="0.2">
      <c r="B2472" s="8"/>
      <c r="K2472" s="8"/>
      <c r="T2472" s="8"/>
      <c r="AC2472" s="8"/>
    </row>
    <row r="2473" spans="2:29" ht="15" x14ac:dyDescent="0.2">
      <c r="B2473" s="8"/>
      <c r="K2473" s="8"/>
      <c r="T2473" s="8"/>
      <c r="AC2473" s="8"/>
    </row>
    <row r="2474" spans="2:29" ht="15" x14ac:dyDescent="0.2">
      <c r="B2474" s="8"/>
      <c r="K2474" s="8"/>
      <c r="T2474" s="8"/>
      <c r="AC2474" s="8"/>
    </row>
    <row r="2475" spans="2:29" ht="15" x14ac:dyDescent="0.2">
      <c r="B2475" s="8"/>
      <c r="K2475" s="8"/>
      <c r="T2475" s="8"/>
      <c r="AC2475" s="8"/>
    </row>
    <row r="2476" spans="2:29" ht="15" x14ac:dyDescent="0.2">
      <c r="B2476" s="8"/>
      <c r="K2476" s="8"/>
      <c r="T2476" s="8"/>
      <c r="AC2476" s="8"/>
    </row>
    <row r="2477" spans="2:29" ht="15" x14ac:dyDescent="0.2">
      <c r="B2477" s="8"/>
      <c r="K2477" s="8"/>
      <c r="T2477" s="8"/>
      <c r="AC2477" s="8"/>
    </row>
    <row r="2478" spans="2:29" ht="15" x14ac:dyDescent="0.2">
      <c r="B2478" s="8"/>
      <c r="K2478" s="8"/>
      <c r="T2478" s="8"/>
      <c r="AC2478" s="8"/>
    </row>
    <row r="2479" spans="2:29" ht="15" x14ac:dyDescent="0.2">
      <c r="B2479" s="8"/>
      <c r="K2479" s="8"/>
      <c r="T2479" s="8"/>
      <c r="AC2479" s="8"/>
    </row>
    <row r="2480" spans="2:29" ht="15" x14ac:dyDescent="0.2">
      <c r="B2480" s="8"/>
      <c r="K2480" s="8"/>
      <c r="T2480" s="8"/>
      <c r="AC2480" s="8"/>
    </row>
    <row r="2481" spans="2:29" ht="15" x14ac:dyDescent="0.2">
      <c r="B2481" s="8"/>
      <c r="K2481" s="8"/>
      <c r="T2481" s="8"/>
      <c r="AC2481" s="8"/>
    </row>
    <row r="2482" spans="2:29" ht="15" x14ac:dyDescent="0.2">
      <c r="B2482" s="8"/>
      <c r="K2482" s="8"/>
      <c r="T2482" s="8"/>
      <c r="AC2482" s="8"/>
    </row>
    <row r="2483" spans="2:29" ht="15" x14ac:dyDescent="0.2">
      <c r="B2483" s="8"/>
      <c r="K2483" s="8"/>
      <c r="T2483" s="8"/>
      <c r="AC2483" s="8"/>
    </row>
    <row r="2484" spans="2:29" ht="15" x14ac:dyDescent="0.2">
      <c r="B2484" s="8"/>
      <c r="K2484" s="8"/>
      <c r="T2484" s="8"/>
      <c r="AC2484" s="8"/>
    </row>
    <row r="2485" spans="2:29" ht="15" x14ac:dyDescent="0.2">
      <c r="B2485" s="8"/>
      <c r="K2485" s="8"/>
      <c r="T2485" s="8"/>
      <c r="AC2485" s="8"/>
    </row>
    <row r="2486" spans="2:29" ht="15" x14ac:dyDescent="0.2">
      <c r="B2486" s="8"/>
      <c r="K2486" s="8"/>
      <c r="T2486" s="8"/>
      <c r="AC2486" s="8"/>
    </row>
    <row r="2487" spans="2:29" ht="15" x14ac:dyDescent="0.2">
      <c r="B2487" s="8"/>
      <c r="K2487" s="8"/>
      <c r="T2487" s="8"/>
      <c r="AC2487" s="8"/>
    </row>
    <row r="2488" spans="2:29" ht="15" x14ac:dyDescent="0.2">
      <c r="B2488" s="8"/>
      <c r="K2488" s="8"/>
      <c r="T2488" s="8"/>
      <c r="AC2488" s="8"/>
    </row>
    <row r="2489" spans="2:29" ht="15" x14ac:dyDescent="0.2">
      <c r="B2489" s="8"/>
      <c r="K2489" s="8"/>
      <c r="T2489" s="8"/>
      <c r="AC2489" s="8"/>
    </row>
    <row r="2490" spans="2:29" ht="15" x14ac:dyDescent="0.2">
      <c r="B2490" s="8"/>
      <c r="K2490" s="8"/>
      <c r="T2490" s="8"/>
      <c r="AC2490" s="8"/>
    </row>
    <row r="2491" spans="2:29" ht="15" x14ac:dyDescent="0.2">
      <c r="B2491" s="8"/>
      <c r="K2491" s="8"/>
      <c r="T2491" s="8"/>
      <c r="AC2491" s="8"/>
    </row>
    <row r="2492" spans="2:29" ht="15" x14ac:dyDescent="0.2">
      <c r="B2492" s="8"/>
      <c r="K2492" s="8"/>
      <c r="T2492" s="8"/>
      <c r="AC2492" s="8"/>
    </row>
    <row r="2493" spans="2:29" ht="15" x14ac:dyDescent="0.2">
      <c r="B2493" s="8"/>
      <c r="K2493" s="8"/>
      <c r="T2493" s="8"/>
      <c r="AC2493" s="8"/>
    </row>
    <row r="2494" spans="2:29" ht="15" x14ac:dyDescent="0.2">
      <c r="B2494" s="8"/>
      <c r="K2494" s="8"/>
      <c r="T2494" s="8"/>
      <c r="AC2494" s="8"/>
    </row>
    <row r="2495" spans="2:29" ht="15" x14ac:dyDescent="0.2">
      <c r="B2495" s="8"/>
      <c r="K2495" s="8"/>
      <c r="T2495" s="8"/>
      <c r="AC2495" s="8"/>
    </row>
    <row r="2496" spans="2:29" ht="15" x14ac:dyDescent="0.2">
      <c r="B2496" s="8"/>
      <c r="K2496" s="8"/>
      <c r="T2496" s="8"/>
      <c r="AC2496" s="8"/>
    </row>
    <row r="2497" spans="2:29" ht="15" x14ac:dyDescent="0.2">
      <c r="B2497" s="8"/>
      <c r="K2497" s="8"/>
      <c r="T2497" s="8"/>
      <c r="AC2497" s="8"/>
    </row>
    <row r="2498" spans="2:29" ht="15" x14ac:dyDescent="0.2">
      <c r="B2498" s="8"/>
      <c r="K2498" s="8"/>
      <c r="T2498" s="8"/>
      <c r="AC2498" s="8"/>
    </row>
    <row r="2499" spans="2:29" ht="15" x14ac:dyDescent="0.2">
      <c r="B2499" s="8"/>
      <c r="K2499" s="8"/>
      <c r="T2499" s="8"/>
      <c r="AC2499" s="8"/>
    </row>
    <row r="2500" spans="2:29" ht="15" x14ac:dyDescent="0.2">
      <c r="B2500" s="8"/>
      <c r="K2500" s="8"/>
      <c r="T2500" s="8"/>
      <c r="AC2500" s="8"/>
    </row>
    <row r="2501" spans="2:29" ht="15" x14ac:dyDescent="0.2">
      <c r="B2501" s="8"/>
      <c r="K2501" s="8"/>
      <c r="T2501" s="8"/>
      <c r="AC2501" s="8"/>
    </row>
    <row r="2502" spans="2:29" ht="15" x14ac:dyDescent="0.2">
      <c r="B2502" s="8"/>
      <c r="K2502" s="8"/>
      <c r="T2502" s="8"/>
      <c r="AC2502" s="8"/>
    </row>
    <row r="2503" spans="2:29" ht="15" x14ac:dyDescent="0.2">
      <c r="B2503" s="8"/>
      <c r="K2503" s="8"/>
      <c r="T2503" s="8"/>
      <c r="AC2503" s="8"/>
    </row>
    <row r="2504" spans="2:29" ht="15" x14ac:dyDescent="0.2">
      <c r="B2504" s="8"/>
      <c r="K2504" s="8"/>
      <c r="T2504" s="8"/>
      <c r="AC2504" s="8"/>
    </row>
    <row r="2505" spans="2:29" ht="15" x14ac:dyDescent="0.2">
      <c r="B2505" s="8"/>
      <c r="K2505" s="8"/>
      <c r="T2505" s="8"/>
      <c r="AC2505" s="8"/>
    </row>
    <row r="2506" spans="2:29" ht="15" x14ac:dyDescent="0.2">
      <c r="B2506" s="8"/>
      <c r="K2506" s="8"/>
      <c r="T2506" s="8"/>
      <c r="AC2506" s="8"/>
    </row>
    <row r="2507" spans="2:29" ht="15" x14ac:dyDescent="0.2">
      <c r="B2507" s="8"/>
      <c r="K2507" s="8"/>
      <c r="T2507" s="8"/>
      <c r="AC2507" s="8"/>
    </row>
    <row r="2508" spans="2:29" ht="15" x14ac:dyDescent="0.2">
      <c r="B2508" s="8"/>
      <c r="K2508" s="8"/>
      <c r="T2508" s="8"/>
      <c r="AC2508" s="8"/>
    </row>
    <row r="2509" spans="2:29" ht="15" x14ac:dyDescent="0.2">
      <c r="B2509" s="8"/>
      <c r="K2509" s="8"/>
      <c r="T2509" s="8"/>
      <c r="AC2509" s="8"/>
    </row>
    <row r="2510" spans="2:29" ht="15" x14ac:dyDescent="0.2">
      <c r="B2510" s="8"/>
      <c r="K2510" s="8"/>
      <c r="T2510" s="8"/>
      <c r="AC2510" s="8"/>
    </row>
    <row r="2511" spans="2:29" ht="15" x14ac:dyDescent="0.2">
      <c r="B2511" s="8"/>
      <c r="K2511" s="8"/>
      <c r="T2511" s="8"/>
      <c r="AC2511" s="8"/>
    </row>
    <row r="2512" spans="2:29" ht="15" x14ac:dyDescent="0.2">
      <c r="B2512" s="8"/>
      <c r="K2512" s="8"/>
      <c r="T2512" s="8"/>
      <c r="AC2512" s="8"/>
    </row>
    <row r="2513" spans="2:29" ht="15" x14ac:dyDescent="0.2">
      <c r="B2513" s="8"/>
      <c r="K2513" s="8"/>
      <c r="T2513" s="8"/>
      <c r="AC2513" s="8"/>
    </row>
    <row r="2514" spans="2:29" ht="15" x14ac:dyDescent="0.2">
      <c r="B2514" s="8"/>
      <c r="K2514" s="8"/>
      <c r="T2514" s="8"/>
      <c r="AC2514" s="8"/>
    </row>
    <row r="2515" spans="2:29" ht="15" x14ac:dyDescent="0.2">
      <c r="B2515" s="8"/>
      <c r="K2515" s="8"/>
      <c r="T2515" s="8"/>
      <c r="AC2515" s="8"/>
    </row>
    <row r="2516" spans="2:29" ht="15" x14ac:dyDescent="0.2">
      <c r="B2516" s="8"/>
      <c r="K2516" s="8"/>
      <c r="T2516" s="8"/>
      <c r="AC2516" s="8"/>
    </row>
    <row r="2517" spans="2:29" ht="15" x14ac:dyDescent="0.2">
      <c r="B2517" s="8"/>
      <c r="K2517" s="8"/>
      <c r="T2517" s="8"/>
      <c r="AC2517" s="8"/>
    </row>
    <row r="2518" spans="2:29" ht="15" x14ac:dyDescent="0.2">
      <c r="B2518" s="8"/>
      <c r="K2518" s="8"/>
      <c r="T2518" s="8"/>
      <c r="AC2518" s="8"/>
    </row>
    <row r="2519" spans="2:29" ht="15" x14ac:dyDescent="0.2">
      <c r="B2519" s="8"/>
      <c r="K2519" s="8"/>
      <c r="T2519" s="8"/>
      <c r="AC2519" s="8"/>
    </row>
    <row r="2520" spans="2:29" ht="15" x14ac:dyDescent="0.2">
      <c r="B2520" s="8"/>
      <c r="K2520" s="8"/>
      <c r="T2520" s="8"/>
      <c r="AC2520" s="8"/>
    </row>
    <row r="2521" spans="2:29" ht="15" x14ac:dyDescent="0.2">
      <c r="B2521" s="8"/>
      <c r="K2521" s="8"/>
      <c r="T2521" s="8"/>
      <c r="AC2521" s="8"/>
    </row>
    <row r="2522" spans="2:29" ht="15" x14ac:dyDescent="0.2">
      <c r="B2522" s="8"/>
      <c r="K2522" s="8"/>
      <c r="T2522" s="8"/>
      <c r="AC2522" s="8"/>
    </row>
    <row r="2523" spans="2:29" ht="15" x14ac:dyDescent="0.2">
      <c r="B2523" s="8"/>
      <c r="K2523" s="8"/>
      <c r="T2523" s="8"/>
      <c r="AC2523" s="8"/>
    </row>
    <row r="2524" spans="2:29" ht="15" x14ac:dyDescent="0.2">
      <c r="B2524" s="8"/>
      <c r="K2524" s="8"/>
      <c r="T2524" s="8"/>
      <c r="AC2524" s="8"/>
    </row>
    <row r="2525" spans="2:29" ht="15" x14ac:dyDescent="0.2">
      <c r="B2525" s="8"/>
      <c r="K2525" s="8"/>
      <c r="T2525" s="8"/>
      <c r="AC2525" s="8"/>
    </row>
    <row r="2526" spans="2:29" ht="15" x14ac:dyDescent="0.2">
      <c r="B2526" s="8"/>
      <c r="K2526" s="8"/>
      <c r="T2526" s="8"/>
      <c r="AC2526" s="8"/>
    </row>
    <row r="2527" spans="2:29" ht="15" x14ac:dyDescent="0.2">
      <c r="B2527" s="8"/>
      <c r="K2527" s="8"/>
      <c r="T2527" s="8"/>
      <c r="AC2527" s="8"/>
    </row>
    <row r="2528" spans="2:29" ht="15" x14ac:dyDescent="0.2">
      <c r="B2528" s="8"/>
      <c r="K2528" s="8"/>
      <c r="T2528" s="8"/>
      <c r="AC2528" s="8"/>
    </row>
    <row r="2529" spans="2:29" ht="15" x14ac:dyDescent="0.2">
      <c r="B2529" s="8"/>
      <c r="K2529" s="8"/>
      <c r="T2529" s="8"/>
      <c r="AC2529" s="8"/>
    </row>
    <row r="2530" spans="2:29" ht="15" x14ac:dyDescent="0.2">
      <c r="B2530" s="8"/>
      <c r="K2530" s="8"/>
      <c r="T2530" s="8"/>
      <c r="AC2530" s="8"/>
    </row>
    <row r="2531" spans="2:29" ht="15" x14ac:dyDescent="0.2">
      <c r="B2531" s="8"/>
      <c r="K2531" s="8"/>
      <c r="T2531" s="8"/>
      <c r="AC2531" s="8"/>
    </row>
    <row r="2532" spans="2:29" ht="15" x14ac:dyDescent="0.2">
      <c r="B2532" s="8"/>
      <c r="K2532" s="8"/>
      <c r="T2532" s="8"/>
      <c r="AC2532" s="8"/>
    </row>
    <row r="2533" spans="2:29" ht="15" x14ac:dyDescent="0.2">
      <c r="B2533" s="8"/>
      <c r="K2533" s="8"/>
      <c r="T2533" s="8"/>
      <c r="AC2533" s="8"/>
    </row>
    <row r="2534" spans="2:29" ht="15" x14ac:dyDescent="0.2">
      <c r="B2534" s="8"/>
      <c r="K2534" s="8"/>
      <c r="T2534" s="8"/>
      <c r="AC2534" s="8"/>
    </row>
    <row r="2535" spans="2:29" ht="15" x14ac:dyDescent="0.2">
      <c r="B2535" s="8"/>
      <c r="K2535" s="8"/>
      <c r="T2535" s="8"/>
      <c r="AC2535" s="8"/>
    </row>
    <row r="2536" spans="2:29" ht="15" x14ac:dyDescent="0.2">
      <c r="B2536" s="8"/>
      <c r="K2536" s="8"/>
      <c r="T2536" s="8"/>
      <c r="AC2536" s="8"/>
    </row>
    <row r="2537" spans="2:29" ht="15" x14ac:dyDescent="0.2">
      <c r="B2537" s="8"/>
      <c r="K2537" s="8"/>
      <c r="T2537" s="8"/>
      <c r="AC2537" s="8"/>
    </row>
    <row r="2538" spans="2:29" ht="15" x14ac:dyDescent="0.2">
      <c r="B2538" s="8"/>
      <c r="K2538" s="8"/>
      <c r="T2538" s="8"/>
      <c r="AC2538" s="8"/>
    </row>
    <row r="2539" spans="2:29" ht="15" x14ac:dyDescent="0.2">
      <c r="B2539" s="8"/>
      <c r="K2539" s="8"/>
      <c r="T2539" s="8"/>
      <c r="AC2539" s="8"/>
    </row>
    <row r="2540" spans="2:29" ht="15" x14ac:dyDescent="0.2">
      <c r="B2540" s="8"/>
      <c r="K2540" s="8"/>
      <c r="T2540" s="8"/>
      <c r="AC2540" s="8"/>
    </row>
    <row r="2541" spans="2:29" ht="15" x14ac:dyDescent="0.2">
      <c r="B2541" s="8"/>
      <c r="K2541" s="8"/>
      <c r="T2541" s="8"/>
      <c r="AC2541" s="8"/>
    </row>
    <row r="2542" spans="2:29" ht="15" x14ac:dyDescent="0.2">
      <c r="B2542" s="8"/>
      <c r="K2542" s="8"/>
      <c r="T2542" s="8"/>
      <c r="AC2542" s="8"/>
    </row>
    <row r="2543" spans="2:29" ht="15" x14ac:dyDescent="0.2">
      <c r="B2543" s="8"/>
      <c r="K2543" s="8"/>
      <c r="T2543" s="8"/>
      <c r="AC2543" s="8"/>
    </row>
    <row r="2544" spans="2:29" ht="15" x14ac:dyDescent="0.2">
      <c r="B2544" s="8"/>
      <c r="K2544" s="8"/>
      <c r="T2544" s="8"/>
      <c r="AC2544" s="8"/>
    </row>
    <row r="2545" spans="2:29" ht="15" x14ac:dyDescent="0.2">
      <c r="B2545" s="8"/>
      <c r="K2545" s="8"/>
      <c r="T2545" s="8"/>
      <c r="AC2545" s="8"/>
    </row>
    <row r="2546" spans="2:29" ht="15" x14ac:dyDescent="0.2">
      <c r="B2546" s="8"/>
      <c r="K2546" s="8"/>
      <c r="T2546" s="8"/>
      <c r="AC2546" s="8"/>
    </row>
    <row r="2547" spans="2:29" ht="15" x14ac:dyDescent="0.2">
      <c r="B2547" s="8"/>
      <c r="K2547" s="8"/>
      <c r="T2547" s="8"/>
      <c r="AC2547" s="8"/>
    </row>
    <row r="2548" spans="2:29" ht="15" x14ac:dyDescent="0.2">
      <c r="B2548" s="8"/>
      <c r="K2548" s="8"/>
      <c r="T2548" s="8"/>
      <c r="AC2548" s="8"/>
    </row>
    <row r="2549" spans="2:29" ht="15" x14ac:dyDescent="0.2">
      <c r="B2549" s="8"/>
      <c r="K2549" s="8"/>
      <c r="T2549" s="8"/>
      <c r="AC2549" s="8"/>
    </row>
    <row r="2550" spans="2:29" ht="15" x14ac:dyDescent="0.2">
      <c r="B2550" s="8"/>
      <c r="K2550" s="8"/>
      <c r="T2550" s="8"/>
      <c r="AC2550" s="8"/>
    </row>
    <row r="2551" spans="2:29" ht="15" x14ac:dyDescent="0.2">
      <c r="B2551" s="8"/>
      <c r="K2551" s="8"/>
      <c r="T2551" s="8"/>
      <c r="AC2551" s="8"/>
    </row>
    <row r="2552" spans="2:29" ht="15" x14ac:dyDescent="0.2">
      <c r="B2552" s="8"/>
      <c r="K2552" s="8"/>
      <c r="T2552" s="8"/>
      <c r="AC2552" s="8"/>
    </row>
    <row r="2553" spans="2:29" ht="15" x14ac:dyDescent="0.2">
      <c r="B2553" s="8"/>
      <c r="K2553" s="8"/>
      <c r="T2553" s="8"/>
      <c r="AC2553" s="8"/>
    </row>
    <row r="2554" spans="2:29" ht="15" x14ac:dyDescent="0.2">
      <c r="B2554" s="8"/>
      <c r="K2554" s="8"/>
      <c r="T2554" s="8"/>
      <c r="AC2554" s="8"/>
    </row>
    <row r="2555" spans="2:29" ht="15" x14ac:dyDescent="0.2">
      <c r="B2555" s="8"/>
      <c r="K2555" s="8"/>
      <c r="T2555" s="8"/>
      <c r="AC2555" s="8"/>
    </row>
    <row r="2556" spans="2:29" ht="15" x14ac:dyDescent="0.2">
      <c r="B2556" s="8"/>
      <c r="K2556" s="8"/>
      <c r="T2556" s="8"/>
      <c r="AC2556" s="8"/>
    </row>
    <row r="2557" spans="2:29" ht="15" x14ac:dyDescent="0.2">
      <c r="B2557" s="8"/>
      <c r="K2557" s="8"/>
      <c r="T2557" s="8"/>
      <c r="AC2557" s="8"/>
    </row>
    <row r="2558" spans="2:29" ht="15" x14ac:dyDescent="0.2">
      <c r="B2558" s="8"/>
      <c r="K2558" s="8"/>
      <c r="T2558" s="8"/>
      <c r="AC2558" s="8"/>
    </row>
    <row r="2559" spans="2:29" ht="15" x14ac:dyDescent="0.2">
      <c r="B2559" s="8"/>
      <c r="K2559" s="8"/>
      <c r="T2559" s="8"/>
      <c r="AC2559" s="8"/>
    </row>
    <row r="2560" spans="2:29" ht="15" x14ac:dyDescent="0.2">
      <c r="B2560" s="8"/>
      <c r="K2560" s="8"/>
      <c r="T2560" s="8"/>
      <c r="AC2560" s="8"/>
    </row>
    <row r="2561" spans="2:29" ht="15" x14ac:dyDescent="0.2">
      <c r="B2561" s="8"/>
      <c r="K2561" s="8"/>
      <c r="T2561" s="8"/>
      <c r="AC2561" s="8"/>
    </row>
    <row r="2562" spans="2:29" ht="15" x14ac:dyDescent="0.2">
      <c r="B2562" s="8"/>
      <c r="K2562" s="8"/>
      <c r="T2562" s="8"/>
      <c r="AC2562" s="8"/>
    </row>
    <row r="2563" spans="2:29" ht="15" x14ac:dyDescent="0.2">
      <c r="B2563" s="8"/>
      <c r="K2563" s="8"/>
      <c r="T2563" s="8"/>
      <c r="AC2563" s="8"/>
    </row>
    <row r="2564" spans="2:29" ht="15" x14ac:dyDescent="0.2">
      <c r="B2564" s="8"/>
      <c r="K2564" s="8"/>
      <c r="T2564" s="8"/>
      <c r="AC2564" s="8"/>
    </row>
    <row r="2565" spans="2:29" ht="15" x14ac:dyDescent="0.2">
      <c r="B2565" s="8"/>
      <c r="K2565" s="8"/>
      <c r="T2565" s="8"/>
      <c r="AC2565" s="8"/>
    </row>
    <row r="2566" spans="2:29" ht="15" x14ac:dyDescent="0.2">
      <c r="B2566" s="8"/>
      <c r="K2566" s="8"/>
      <c r="T2566" s="8"/>
      <c r="AC2566" s="8"/>
    </row>
    <row r="2567" spans="2:29" ht="15" x14ac:dyDescent="0.2">
      <c r="B2567" s="8"/>
      <c r="K2567" s="8"/>
      <c r="T2567" s="8"/>
      <c r="AC2567" s="8"/>
    </row>
    <row r="2568" spans="2:29" ht="15" x14ac:dyDescent="0.2">
      <c r="B2568" s="8"/>
      <c r="K2568" s="8"/>
      <c r="T2568" s="8"/>
      <c r="AC2568" s="8"/>
    </row>
    <row r="2569" spans="2:29" ht="15" x14ac:dyDescent="0.2">
      <c r="B2569" s="8"/>
      <c r="K2569" s="8"/>
      <c r="T2569" s="8"/>
      <c r="AC2569" s="8"/>
    </row>
    <row r="2570" spans="2:29" ht="15" x14ac:dyDescent="0.2">
      <c r="B2570" s="8"/>
      <c r="K2570" s="8"/>
      <c r="T2570" s="8"/>
      <c r="AC2570" s="8"/>
    </row>
    <row r="2571" spans="2:29" ht="15" x14ac:dyDescent="0.2">
      <c r="B2571" s="8"/>
      <c r="K2571" s="8"/>
      <c r="T2571" s="8"/>
      <c r="AC2571" s="8"/>
    </row>
    <row r="2572" spans="2:29" ht="15" x14ac:dyDescent="0.2">
      <c r="B2572" s="8"/>
      <c r="K2572" s="8"/>
      <c r="T2572" s="8"/>
      <c r="AC2572" s="8"/>
    </row>
    <row r="2573" spans="2:29" ht="15" x14ac:dyDescent="0.2">
      <c r="B2573" s="8"/>
      <c r="K2573" s="8"/>
      <c r="T2573" s="8"/>
      <c r="AC2573" s="8"/>
    </row>
    <row r="2574" spans="2:29" ht="15" x14ac:dyDescent="0.2">
      <c r="B2574" s="8"/>
      <c r="K2574" s="8"/>
      <c r="T2574" s="8"/>
      <c r="AC2574" s="8"/>
    </row>
    <row r="2575" spans="2:29" ht="15" x14ac:dyDescent="0.2">
      <c r="B2575" s="8"/>
      <c r="K2575" s="8"/>
      <c r="T2575" s="8"/>
      <c r="AC2575" s="8"/>
    </row>
    <row r="2576" spans="2:29" ht="15" x14ac:dyDescent="0.2">
      <c r="B2576" s="8"/>
      <c r="K2576" s="8"/>
      <c r="T2576" s="8"/>
      <c r="AC2576" s="8"/>
    </row>
    <row r="2577" spans="2:29" ht="15" x14ac:dyDescent="0.2">
      <c r="B2577" s="8"/>
      <c r="K2577" s="8"/>
      <c r="T2577" s="8"/>
      <c r="AC2577" s="8"/>
    </row>
    <row r="2578" spans="2:29" ht="15" x14ac:dyDescent="0.2">
      <c r="B2578" s="8"/>
      <c r="K2578" s="8"/>
      <c r="T2578" s="8"/>
      <c r="AC2578" s="8"/>
    </row>
    <row r="2579" spans="2:29" ht="15" x14ac:dyDescent="0.2">
      <c r="B2579" s="8"/>
      <c r="K2579" s="8"/>
      <c r="T2579" s="8"/>
      <c r="AC2579" s="8"/>
    </row>
    <row r="2580" spans="2:29" ht="15" x14ac:dyDescent="0.2">
      <c r="B2580" s="8"/>
      <c r="K2580" s="8"/>
      <c r="T2580" s="8"/>
      <c r="AC2580" s="8"/>
    </row>
    <row r="2581" spans="2:29" ht="15" x14ac:dyDescent="0.2">
      <c r="B2581" s="8"/>
      <c r="K2581" s="8"/>
      <c r="T2581" s="8"/>
      <c r="AC2581" s="8"/>
    </row>
    <row r="2582" spans="2:29" ht="15" x14ac:dyDescent="0.2">
      <c r="B2582" s="8"/>
      <c r="K2582" s="8"/>
      <c r="T2582" s="8"/>
      <c r="AC2582" s="8"/>
    </row>
    <row r="2583" spans="2:29" ht="15" x14ac:dyDescent="0.2">
      <c r="B2583" s="8"/>
      <c r="K2583" s="8"/>
      <c r="T2583" s="8"/>
      <c r="AC2583" s="8"/>
    </row>
    <row r="2584" spans="2:29" ht="15" x14ac:dyDescent="0.2">
      <c r="B2584" s="8"/>
      <c r="K2584" s="8"/>
      <c r="T2584" s="8"/>
      <c r="AC2584" s="8"/>
    </row>
    <row r="2585" spans="2:29" ht="15" x14ac:dyDescent="0.2">
      <c r="B2585" s="8"/>
      <c r="K2585" s="8"/>
      <c r="T2585" s="8"/>
      <c r="AC2585" s="8"/>
    </row>
    <row r="2586" spans="2:29" ht="15" x14ac:dyDescent="0.2">
      <c r="B2586" s="8"/>
      <c r="K2586" s="8"/>
      <c r="T2586" s="8"/>
      <c r="AC2586" s="8"/>
    </row>
    <row r="2587" spans="2:29" ht="15" x14ac:dyDescent="0.2">
      <c r="B2587" s="8"/>
      <c r="K2587" s="8"/>
      <c r="T2587" s="8"/>
      <c r="AC2587" s="8"/>
    </row>
    <row r="2588" spans="2:29" ht="15" x14ac:dyDescent="0.2">
      <c r="B2588" s="8"/>
      <c r="K2588" s="8"/>
      <c r="T2588" s="8"/>
      <c r="AC2588" s="8"/>
    </row>
    <row r="2589" spans="2:29" ht="15" x14ac:dyDescent="0.2">
      <c r="B2589" s="8"/>
      <c r="K2589" s="8"/>
      <c r="T2589" s="8"/>
      <c r="AC2589" s="8"/>
    </row>
    <row r="2590" spans="2:29" ht="15" x14ac:dyDescent="0.2">
      <c r="B2590" s="8"/>
      <c r="K2590" s="8"/>
      <c r="T2590" s="8"/>
      <c r="AC2590" s="8"/>
    </row>
    <row r="2591" spans="2:29" ht="15" x14ac:dyDescent="0.2">
      <c r="B2591" s="8"/>
      <c r="K2591" s="8"/>
      <c r="T2591" s="8"/>
      <c r="AC2591" s="8"/>
    </row>
    <row r="2592" spans="2:29" ht="15" x14ac:dyDescent="0.2">
      <c r="B2592" s="8"/>
      <c r="K2592" s="8"/>
      <c r="T2592" s="8"/>
      <c r="AC2592" s="8"/>
    </row>
    <row r="2593" spans="2:29" ht="15" x14ac:dyDescent="0.2">
      <c r="B2593" s="8"/>
      <c r="K2593" s="8"/>
      <c r="T2593" s="8"/>
      <c r="AC2593" s="8"/>
    </row>
    <row r="2594" spans="2:29" ht="15" x14ac:dyDescent="0.2">
      <c r="B2594" s="8"/>
      <c r="K2594" s="8"/>
      <c r="T2594" s="8"/>
      <c r="AC2594" s="8"/>
    </row>
    <row r="2595" spans="2:29" ht="15" x14ac:dyDescent="0.2">
      <c r="B2595" s="8"/>
      <c r="K2595" s="8"/>
      <c r="T2595" s="8"/>
      <c r="AC2595" s="8"/>
    </row>
    <row r="2596" spans="2:29" ht="15" x14ac:dyDescent="0.2">
      <c r="B2596" s="8"/>
      <c r="K2596" s="8"/>
      <c r="T2596" s="8"/>
      <c r="AC2596" s="8"/>
    </row>
    <row r="2597" spans="2:29" ht="15" x14ac:dyDescent="0.2">
      <c r="B2597" s="8"/>
      <c r="K2597" s="8"/>
      <c r="T2597" s="8"/>
      <c r="AC2597" s="8"/>
    </row>
    <row r="2598" spans="2:29" ht="15" x14ac:dyDescent="0.2">
      <c r="B2598" s="8"/>
      <c r="K2598" s="8"/>
      <c r="T2598" s="8"/>
      <c r="AC2598" s="8"/>
    </row>
    <row r="2599" spans="2:29" ht="15" x14ac:dyDescent="0.2">
      <c r="B2599" s="8"/>
      <c r="K2599" s="8"/>
      <c r="T2599" s="8"/>
      <c r="AC2599" s="8"/>
    </row>
    <row r="2600" spans="2:29" ht="15" x14ac:dyDescent="0.2">
      <c r="B2600" s="8"/>
      <c r="K2600" s="8"/>
      <c r="T2600" s="8"/>
      <c r="AC2600" s="8"/>
    </row>
    <row r="2601" spans="2:29" ht="15" x14ac:dyDescent="0.2">
      <c r="B2601" s="8"/>
      <c r="K2601" s="8"/>
      <c r="T2601" s="8"/>
      <c r="AC2601" s="8"/>
    </row>
    <row r="2602" spans="2:29" ht="15" x14ac:dyDescent="0.2">
      <c r="B2602" s="8"/>
      <c r="K2602" s="8"/>
      <c r="T2602" s="8"/>
      <c r="AC2602" s="8"/>
    </row>
    <row r="2603" spans="2:29" ht="15" x14ac:dyDescent="0.2">
      <c r="B2603" s="8"/>
      <c r="K2603" s="8"/>
      <c r="T2603" s="8"/>
      <c r="AC2603" s="8"/>
    </row>
    <row r="2604" spans="2:29" ht="15" x14ac:dyDescent="0.2">
      <c r="B2604" s="8"/>
      <c r="K2604" s="8"/>
      <c r="T2604" s="8"/>
      <c r="AC2604" s="8"/>
    </row>
    <row r="2605" spans="2:29" ht="15" x14ac:dyDescent="0.2">
      <c r="B2605" s="8"/>
      <c r="K2605" s="8"/>
      <c r="T2605" s="8"/>
      <c r="AC2605" s="8"/>
    </row>
    <row r="2606" spans="2:29" ht="15" x14ac:dyDescent="0.2">
      <c r="B2606" s="8"/>
      <c r="K2606" s="8"/>
      <c r="T2606" s="8"/>
      <c r="AC2606" s="8"/>
    </row>
    <row r="2607" spans="2:29" ht="15" x14ac:dyDescent="0.2">
      <c r="B2607" s="8"/>
      <c r="K2607" s="8"/>
      <c r="T2607" s="8"/>
      <c r="AC2607" s="8"/>
    </row>
    <row r="2608" spans="2:29" ht="15" x14ac:dyDescent="0.2">
      <c r="B2608" s="8"/>
      <c r="K2608" s="8"/>
      <c r="T2608" s="8"/>
      <c r="AC2608" s="8"/>
    </row>
    <row r="2609" spans="2:29" ht="15" x14ac:dyDescent="0.2">
      <c r="B2609" s="8"/>
      <c r="K2609" s="8"/>
      <c r="T2609" s="8"/>
      <c r="AC2609" s="8"/>
    </row>
    <row r="2610" spans="2:29" ht="15" x14ac:dyDescent="0.2">
      <c r="B2610" s="8"/>
      <c r="K2610" s="8"/>
      <c r="T2610" s="8"/>
      <c r="AC2610" s="8"/>
    </row>
    <row r="2611" spans="2:29" ht="15" x14ac:dyDescent="0.2">
      <c r="B2611" s="8"/>
      <c r="K2611" s="8"/>
      <c r="T2611" s="8"/>
      <c r="AC2611" s="8"/>
    </row>
    <row r="2612" spans="2:29" ht="15" x14ac:dyDescent="0.2">
      <c r="B2612" s="8"/>
      <c r="K2612" s="8"/>
      <c r="T2612" s="8"/>
      <c r="AC2612" s="8"/>
    </row>
    <row r="2613" spans="2:29" ht="15" x14ac:dyDescent="0.2">
      <c r="B2613" s="8"/>
      <c r="K2613" s="8"/>
      <c r="T2613" s="8"/>
      <c r="AC2613" s="8"/>
    </row>
    <row r="2614" spans="2:29" ht="15" x14ac:dyDescent="0.2">
      <c r="B2614" s="8"/>
      <c r="K2614" s="8"/>
      <c r="T2614" s="8"/>
      <c r="AC2614" s="8"/>
    </row>
    <row r="2615" spans="2:29" ht="15" x14ac:dyDescent="0.2">
      <c r="B2615" s="8"/>
      <c r="K2615" s="8"/>
      <c r="T2615" s="8"/>
      <c r="AC2615" s="8"/>
    </row>
    <row r="2616" spans="2:29" ht="15" x14ac:dyDescent="0.2">
      <c r="B2616" s="8"/>
      <c r="K2616" s="8"/>
      <c r="T2616" s="8"/>
      <c r="AC2616" s="8"/>
    </row>
    <row r="2617" spans="2:29" ht="15" x14ac:dyDescent="0.2">
      <c r="B2617" s="8"/>
      <c r="K2617" s="8"/>
      <c r="T2617" s="8"/>
      <c r="AC2617" s="8"/>
    </row>
    <row r="2618" spans="2:29" ht="15" x14ac:dyDescent="0.2">
      <c r="B2618" s="8"/>
      <c r="K2618" s="8"/>
      <c r="T2618" s="8"/>
      <c r="AC2618" s="8"/>
    </row>
    <row r="2619" spans="2:29" ht="15" x14ac:dyDescent="0.2">
      <c r="B2619" s="8"/>
      <c r="K2619" s="8"/>
      <c r="T2619" s="8"/>
      <c r="AC2619" s="8"/>
    </row>
    <row r="2620" spans="2:29" ht="15" x14ac:dyDescent="0.2">
      <c r="B2620" s="8"/>
      <c r="K2620" s="8"/>
      <c r="T2620" s="8"/>
      <c r="AC2620" s="8"/>
    </row>
    <row r="2621" spans="2:29" ht="15" x14ac:dyDescent="0.2">
      <c r="B2621" s="8"/>
      <c r="K2621" s="8"/>
      <c r="T2621" s="8"/>
      <c r="AC2621" s="8"/>
    </row>
    <row r="2622" spans="2:29" ht="15" x14ac:dyDescent="0.2">
      <c r="B2622" s="8"/>
      <c r="K2622" s="8"/>
      <c r="T2622" s="8"/>
      <c r="AC2622" s="8"/>
    </row>
    <row r="2623" spans="2:29" ht="15" x14ac:dyDescent="0.2">
      <c r="B2623" s="8"/>
      <c r="K2623" s="8"/>
      <c r="T2623" s="8"/>
      <c r="AC2623" s="8"/>
    </row>
    <row r="2624" spans="2:29" ht="15" x14ac:dyDescent="0.2">
      <c r="B2624" s="8"/>
      <c r="K2624" s="8"/>
      <c r="T2624" s="8"/>
      <c r="AC2624" s="8"/>
    </row>
    <row r="2625" spans="2:29" ht="15" x14ac:dyDescent="0.2">
      <c r="B2625" s="8"/>
      <c r="K2625" s="8"/>
      <c r="T2625" s="8"/>
      <c r="AC2625" s="8"/>
    </row>
    <row r="2626" spans="2:29" ht="15" x14ac:dyDescent="0.2">
      <c r="B2626" s="8"/>
      <c r="K2626" s="8"/>
      <c r="T2626" s="8"/>
      <c r="AC2626" s="8"/>
    </row>
    <row r="2627" spans="2:29" ht="15" x14ac:dyDescent="0.2">
      <c r="B2627" s="8"/>
      <c r="K2627" s="8"/>
      <c r="T2627" s="8"/>
      <c r="AC2627" s="8"/>
    </row>
    <row r="2628" spans="2:29" ht="15" x14ac:dyDescent="0.2">
      <c r="B2628" s="8"/>
      <c r="K2628" s="8"/>
      <c r="T2628" s="8"/>
      <c r="AC2628" s="8"/>
    </row>
    <row r="2629" spans="2:29" ht="15" x14ac:dyDescent="0.2">
      <c r="B2629" s="8"/>
      <c r="K2629" s="8"/>
      <c r="T2629" s="8"/>
      <c r="AC2629" s="8"/>
    </row>
    <row r="2630" spans="2:29" ht="15" x14ac:dyDescent="0.2">
      <c r="B2630" s="8"/>
      <c r="K2630" s="8"/>
      <c r="T2630" s="8"/>
      <c r="AC2630" s="8"/>
    </row>
    <row r="2631" spans="2:29" ht="15" x14ac:dyDescent="0.2">
      <c r="B2631" s="8"/>
      <c r="K2631" s="8"/>
      <c r="T2631" s="8"/>
      <c r="AC2631" s="8"/>
    </row>
    <row r="2632" spans="2:29" ht="15" x14ac:dyDescent="0.2">
      <c r="B2632" s="8"/>
      <c r="K2632" s="8"/>
      <c r="T2632" s="8"/>
      <c r="AC2632" s="8"/>
    </row>
    <row r="2633" spans="2:29" ht="15" x14ac:dyDescent="0.2">
      <c r="B2633" s="8"/>
      <c r="K2633" s="8"/>
      <c r="T2633" s="8"/>
      <c r="AC2633" s="8"/>
    </row>
    <row r="2634" spans="2:29" ht="15" x14ac:dyDescent="0.2">
      <c r="B2634" s="8"/>
      <c r="K2634" s="8"/>
      <c r="T2634" s="8"/>
      <c r="AC2634" s="8"/>
    </row>
    <row r="2635" spans="2:29" ht="15" x14ac:dyDescent="0.2">
      <c r="B2635" s="8"/>
      <c r="K2635" s="8"/>
      <c r="T2635" s="8"/>
      <c r="AC2635" s="8"/>
    </row>
    <row r="2636" spans="2:29" ht="15" x14ac:dyDescent="0.2">
      <c r="B2636" s="8"/>
      <c r="K2636" s="8"/>
      <c r="T2636" s="8"/>
      <c r="AC2636" s="8"/>
    </row>
    <row r="2637" spans="2:29" ht="15" x14ac:dyDescent="0.2">
      <c r="B2637" s="8"/>
      <c r="K2637" s="8"/>
      <c r="T2637" s="8"/>
      <c r="AC2637" s="8"/>
    </row>
    <row r="2638" spans="2:29" ht="15" x14ac:dyDescent="0.2">
      <c r="B2638" s="8"/>
      <c r="K2638" s="8"/>
      <c r="T2638" s="8"/>
      <c r="AC2638" s="8"/>
    </row>
    <row r="2639" spans="2:29" ht="15" x14ac:dyDescent="0.2">
      <c r="B2639" s="8"/>
      <c r="K2639" s="8"/>
      <c r="T2639" s="8"/>
      <c r="AC2639" s="8"/>
    </row>
    <row r="2640" spans="2:29" ht="15" x14ac:dyDescent="0.2">
      <c r="B2640" s="8"/>
      <c r="K2640" s="8"/>
      <c r="T2640" s="8"/>
      <c r="AC2640" s="8"/>
    </row>
    <row r="2641" spans="2:29" ht="15" x14ac:dyDescent="0.2">
      <c r="B2641" s="8"/>
      <c r="K2641" s="8"/>
      <c r="T2641" s="8"/>
      <c r="AC2641" s="8"/>
    </row>
    <row r="2642" spans="2:29" ht="15" x14ac:dyDescent="0.2">
      <c r="B2642" s="8"/>
      <c r="K2642" s="8"/>
      <c r="T2642" s="8"/>
      <c r="AC2642" s="8"/>
    </row>
    <row r="2643" spans="2:29" ht="15" x14ac:dyDescent="0.2">
      <c r="B2643" s="8"/>
      <c r="K2643" s="8"/>
      <c r="T2643" s="8"/>
      <c r="AC2643" s="8"/>
    </row>
    <row r="2644" spans="2:29" ht="15" x14ac:dyDescent="0.2">
      <c r="B2644" s="8"/>
      <c r="K2644" s="8"/>
      <c r="T2644" s="8"/>
      <c r="AC2644" s="8"/>
    </row>
    <row r="2645" spans="2:29" ht="15" x14ac:dyDescent="0.2">
      <c r="B2645" s="8"/>
      <c r="K2645" s="8"/>
      <c r="T2645" s="8"/>
      <c r="AC2645" s="8"/>
    </row>
    <row r="2646" spans="2:29" ht="15" x14ac:dyDescent="0.2">
      <c r="B2646" s="8"/>
      <c r="K2646" s="8"/>
      <c r="T2646" s="8"/>
      <c r="AC2646" s="8"/>
    </row>
    <row r="2647" spans="2:29" ht="15" x14ac:dyDescent="0.2">
      <c r="B2647" s="8"/>
      <c r="K2647" s="8"/>
      <c r="T2647" s="8"/>
      <c r="AC2647" s="8"/>
    </row>
    <row r="2648" spans="2:29" ht="15" x14ac:dyDescent="0.2">
      <c r="B2648" s="8"/>
      <c r="K2648" s="8"/>
      <c r="T2648" s="8"/>
      <c r="AC2648" s="8"/>
    </row>
    <row r="2649" spans="2:29" ht="15" x14ac:dyDescent="0.2">
      <c r="B2649" s="8"/>
      <c r="K2649" s="8"/>
      <c r="T2649" s="8"/>
      <c r="AC2649" s="8"/>
    </row>
    <row r="2650" spans="2:29" ht="15" x14ac:dyDescent="0.2">
      <c r="B2650" s="8"/>
      <c r="K2650" s="8"/>
      <c r="T2650" s="8"/>
      <c r="AC2650" s="8"/>
    </row>
    <row r="2651" spans="2:29" ht="15" x14ac:dyDescent="0.2">
      <c r="B2651" s="8"/>
      <c r="K2651" s="8"/>
      <c r="T2651" s="8"/>
      <c r="AC2651" s="8"/>
    </row>
    <row r="2652" spans="2:29" ht="15" x14ac:dyDescent="0.2">
      <c r="B2652" s="8"/>
      <c r="K2652" s="8"/>
      <c r="T2652" s="8"/>
      <c r="AC2652" s="8"/>
    </row>
    <row r="2653" spans="2:29" ht="15" x14ac:dyDescent="0.2">
      <c r="B2653" s="8"/>
      <c r="K2653" s="8"/>
      <c r="T2653" s="8"/>
      <c r="AC2653" s="8"/>
    </row>
    <row r="2654" spans="2:29" ht="15" x14ac:dyDescent="0.2">
      <c r="B2654" s="8"/>
      <c r="K2654" s="8"/>
      <c r="T2654" s="8"/>
      <c r="AC2654" s="8"/>
    </row>
    <row r="2655" spans="2:29" ht="15" x14ac:dyDescent="0.2">
      <c r="B2655" s="8"/>
      <c r="K2655" s="8"/>
      <c r="T2655" s="8"/>
      <c r="AC2655" s="8"/>
    </row>
    <row r="2656" spans="2:29" ht="15" x14ac:dyDescent="0.2">
      <c r="B2656" s="8"/>
      <c r="K2656" s="8"/>
      <c r="T2656" s="8"/>
      <c r="AC2656" s="8"/>
    </row>
    <row r="2657" spans="2:29" ht="15" x14ac:dyDescent="0.2">
      <c r="B2657" s="8"/>
      <c r="K2657" s="8"/>
      <c r="T2657" s="8"/>
      <c r="AC2657" s="8"/>
    </row>
    <row r="2658" spans="2:29" ht="15" x14ac:dyDescent="0.2">
      <c r="B2658" s="8"/>
      <c r="K2658" s="8"/>
      <c r="T2658" s="8"/>
      <c r="AC2658" s="8"/>
    </row>
    <row r="2659" spans="2:29" ht="15" x14ac:dyDescent="0.2">
      <c r="B2659" s="8"/>
      <c r="K2659" s="8"/>
      <c r="T2659" s="8"/>
      <c r="AC2659" s="8"/>
    </row>
    <row r="2660" spans="2:29" ht="15" x14ac:dyDescent="0.2">
      <c r="B2660" s="8"/>
      <c r="K2660" s="8"/>
      <c r="T2660" s="8"/>
      <c r="AC2660" s="8"/>
    </row>
    <row r="2661" spans="2:29" ht="15" x14ac:dyDescent="0.2">
      <c r="B2661" s="8"/>
      <c r="K2661" s="8"/>
      <c r="T2661" s="8"/>
      <c r="AC2661" s="8"/>
    </row>
    <row r="2662" spans="2:29" ht="15" x14ac:dyDescent="0.2">
      <c r="B2662" s="8"/>
      <c r="K2662" s="8"/>
      <c r="T2662" s="8"/>
      <c r="AC2662" s="8"/>
    </row>
    <row r="2663" spans="2:29" ht="15" x14ac:dyDescent="0.2">
      <c r="B2663" s="8"/>
      <c r="K2663" s="8"/>
      <c r="T2663" s="8"/>
      <c r="AC2663" s="8"/>
    </row>
    <row r="2664" spans="2:29" ht="15" x14ac:dyDescent="0.2">
      <c r="B2664" s="8"/>
      <c r="K2664" s="8"/>
      <c r="T2664" s="8"/>
      <c r="AC2664" s="8"/>
    </row>
    <row r="2665" spans="2:29" ht="15" x14ac:dyDescent="0.2">
      <c r="B2665" s="8"/>
      <c r="K2665" s="8"/>
      <c r="T2665" s="8"/>
      <c r="AC2665" s="8"/>
    </row>
    <row r="2666" spans="2:29" ht="15" x14ac:dyDescent="0.2">
      <c r="B2666" s="8"/>
      <c r="K2666" s="8"/>
      <c r="T2666" s="8"/>
      <c r="AC2666" s="8"/>
    </row>
    <row r="2667" spans="2:29" ht="15" x14ac:dyDescent="0.2">
      <c r="B2667" s="8"/>
      <c r="K2667" s="8"/>
      <c r="T2667" s="8"/>
      <c r="AC2667" s="8"/>
    </row>
    <row r="2668" spans="2:29" ht="15" x14ac:dyDescent="0.2">
      <c r="B2668" s="8"/>
      <c r="K2668" s="8"/>
      <c r="T2668" s="8"/>
      <c r="AC2668" s="8"/>
    </row>
    <row r="2669" spans="2:29" ht="15" x14ac:dyDescent="0.2">
      <c r="B2669" s="8"/>
      <c r="K2669" s="8"/>
      <c r="T2669" s="8"/>
      <c r="AC2669" s="8"/>
    </row>
    <row r="2670" spans="2:29" ht="15" x14ac:dyDescent="0.2">
      <c r="B2670" s="8"/>
      <c r="K2670" s="8"/>
      <c r="T2670" s="8"/>
      <c r="AC2670" s="8"/>
    </row>
    <row r="2671" spans="2:29" ht="15" x14ac:dyDescent="0.2">
      <c r="B2671" s="8"/>
      <c r="K2671" s="8"/>
      <c r="T2671" s="8"/>
      <c r="AC2671" s="8"/>
    </row>
    <row r="2672" spans="2:29" ht="15" x14ac:dyDescent="0.2">
      <c r="B2672" s="8"/>
      <c r="K2672" s="8"/>
      <c r="T2672" s="8"/>
      <c r="AC2672" s="8"/>
    </row>
    <row r="2673" spans="2:29" ht="15" x14ac:dyDescent="0.2">
      <c r="B2673" s="8"/>
      <c r="K2673" s="8"/>
      <c r="T2673" s="8"/>
      <c r="AC2673" s="8"/>
    </row>
    <row r="2674" spans="2:29" ht="15" x14ac:dyDescent="0.2">
      <c r="B2674" s="8"/>
      <c r="K2674" s="8"/>
      <c r="T2674" s="8"/>
      <c r="AC2674" s="8"/>
    </row>
    <row r="2675" spans="2:29" ht="15" x14ac:dyDescent="0.2">
      <c r="B2675" s="8"/>
      <c r="K2675" s="8"/>
      <c r="T2675" s="8"/>
      <c r="AC2675" s="8"/>
    </row>
    <row r="2676" spans="2:29" ht="15" x14ac:dyDescent="0.2">
      <c r="B2676" s="8"/>
      <c r="K2676" s="8"/>
      <c r="T2676" s="8"/>
      <c r="AC2676" s="8"/>
    </row>
    <row r="2677" spans="2:29" ht="15" x14ac:dyDescent="0.2">
      <c r="B2677" s="8"/>
      <c r="K2677" s="8"/>
      <c r="T2677" s="8"/>
      <c r="AC2677" s="8"/>
    </row>
    <row r="2678" spans="2:29" ht="15" x14ac:dyDescent="0.2">
      <c r="B2678" s="8"/>
      <c r="K2678" s="8"/>
      <c r="T2678" s="8"/>
      <c r="AC2678" s="8"/>
    </row>
    <row r="2679" spans="2:29" ht="15" x14ac:dyDescent="0.2">
      <c r="B2679" s="8"/>
      <c r="K2679" s="8"/>
      <c r="T2679" s="8"/>
      <c r="AC2679" s="8"/>
    </row>
    <row r="2680" spans="2:29" ht="15" x14ac:dyDescent="0.2">
      <c r="B2680" s="8"/>
      <c r="K2680" s="8"/>
      <c r="T2680" s="8"/>
      <c r="AC2680" s="8"/>
    </row>
    <row r="2681" spans="2:29" ht="15" x14ac:dyDescent="0.2">
      <c r="B2681" s="8"/>
      <c r="K2681" s="8"/>
      <c r="T2681" s="8"/>
      <c r="AC2681" s="8"/>
    </row>
    <row r="2682" spans="2:29" ht="15" x14ac:dyDescent="0.2">
      <c r="B2682" s="8"/>
      <c r="K2682" s="8"/>
      <c r="T2682" s="8"/>
      <c r="AC2682" s="8"/>
    </row>
    <row r="2683" spans="2:29" ht="15" x14ac:dyDescent="0.2">
      <c r="B2683" s="8"/>
      <c r="K2683" s="8"/>
      <c r="T2683" s="8"/>
      <c r="AC2683" s="8"/>
    </row>
    <row r="2684" spans="2:29" ht="15" x14ac:dyDescent="0.2">
      <c r="B2684" s="8"/>
      <c r="K2684" s="8"/>
      <c r="T2684" s="8"/>
      <c r="AC2684" s="8"/>
    </row>
    <row r="2685" spans="2:29" ht="15" x14ac:dyDescent="0.2">
      <c r="B2685" s="8"/>
      <c r="K2685" s="8"/>
      <c r="T2685" s="8"/>
      <c r="AC2685" s="8"/>
    </row>
    <row r="2686" spans="2:29" ht="15" x14ac:dyDescent="0.2">
      <c r="B2686" s="8"/>
      <c r="K2686" s="8"/>
      <c r="T2686" s="8"/>
      <c r="AC2686" s="8"/>
    </row>
    <row r="2687" spans="2:29" ht="15" x14ac:dyDescent="0.2">
      <c r="B2687" s="8"/>
      <c r="K2687" s="8"/>
      <c r="T2687" s="8"/>
      <c r="AC2687" s="8"/>
    </row>
    <row r="2688" spans="2:29" ht="15" x14ac:dyDescent="0.2">
      <c r="B2688" s="8"/>
      <c r="K2688" s="8"/>
      <c r="T2688" s="8"/>
      <c r="AC2688" s="8"/>
    </row>
    <row r="2689" spans="2:29" ht="15" x14ac:dyDescent="0.2">
      <c r="B2689" s="8"/>
      <c r="K2689" s="8"/>
      <c r="T2689" s="8"/>
      <c r="AC2689" s="8"/>
    </row>
    <row r="2690" spans="2:29" ht="15" x14ac:dyDescent="0.2">
      <c r="B2690" s="8"/>
      <c r="K2690" s="8"/>
      <c r="T2690" s="8"/>
      <c r="AC2690" s="8"/>
    </row>
    <row r="2691" spans="2:29" ht="15" x14ac:dyDescent="0.2">
      <c r="B2691" s="8"/>
      <c r="K2691" s="8"/>
      <c r="T2691" s="8"/>
      <c r="AC2691" s="8"/>
    </row>
    <row r="2692" spans="2:29" ht="15" x14ac:dyDescent="0.2">
      <c r="B2692" s="8"/>
      <c r="K2692" s="8"/>
      <c r="T2692" s="8"/>
      <c r="AC2692" s="8"/>
    </row>
    <row r="2693" spans="2:29" ht="15" x14ac:dyDescent="0.2">
      <c r="B2693" s="8"/>
      <c r="K2693" s="8"/>
      <c r="T2693" s="8"/>
      <c r="AC2693" s="8"/>
    </row>
    <row r="2694" spans="2:29" ht="15" x14ac:dyDescent="0.2">
      <c r="B2694" s="8"/>
      <c r="K2694" s="8"/>
      <c r="T2694" s="8"/>
      <c r="AC2694" s="8"/>
    </row>
    <row r="2695" spans="2:29" ht="15" x14ac:dyDescent="0.2">
      <c r="B2695" s="8"/>
      <c r="K2695" s="8"/>
      <c r="T2695" s="8"/>
      <c r="AC2695" s="8"/>
    </row>
    <row r="2696" spans="2:29" ht="15" x14ac:dyDescent="0.2">
      <c r="B2696" s="8"/>
      <c r="K2696" s="8"/>
      <c r="T2696" s="8"/>
      <c r="AC2696" s="8"/>
    </row>
    <row r="2697" spans="2:29" ht="15" x14ac:dyDescent="0.2">
      <c r="B2697" s="8"/>
      <c r="K2697" s="8"/>
      <c r="T2697" s="8"/>
      <c r="AC2697" s="8"/>
    </row>
    <row r="2698" spans="2:29" ht="15" x14ac:dyDescent="0.2">
      <c r="B2698" s="8"/>
      <c r="K2698" s="8"/>
      <c r="T2698" s="8"/>
      <c r="AC2698" s="8"/>
    </row>
    <row r="2699" spans="2:29" ht="15" x14ac:dyDescent="0.2">
      <c r="B2699" s="8"/>
      <c r="K2699" s="8"/>
      <c r="T2699" s="8"/>
      <c r="AC2699" s="8"/>
    </row>
    <row r="2700" spans="2:29" ht="15" x14ac:dyDescent="0.2">
      <c r="B2700" s="8"/>
      <c r="K2700" s="8"/>
      <c r="T2700" s="8"/>
      <c r="AC2700" s="8"/>
    </row>
    <row r="2701" spans="2:29" ht="15" x14ac:dyDescent="0.2">
      <c r="B2701" s="8"/>
      <c r="K2701" s="8"/>
      <c r="T2701" s="8"/>
      <c r="AC2701" s="8"/>
    </row>
    <row r="2702" spans="2:29" ht="15" x14ac:dyDescent="0.2">
      <c r="B2702" s="8"/>
      <c r="K2702" s="8"/>
      <c r="T2702" s="8"/>
      <c r="AC2702" s="8"/>
    </row>
    <row r="2703" spans="2:29" ht="15" x14ac:dyDescent="0.2">
      <c r="B2703" s="8"/>
      <c r="K2703" s="8"/>
      <c r="T2703" s="8"/>
      <c r="AC2703" s="8"/>
    </row>
    <row r="2704" spans="2:29" ht="15" x14ac:dyDescent="0.2">
      <c r="B2704" s="8"/>
      <c r="K2704" s="8"/>
      <c r="T2704" s="8"/>
      <c r="AC2704" s="8"/>
    </row>
    <row r="2705" spans="2:29" ht="15" x14ac:dyDescent="0.2">
      <c r="B2705" s="8"/>
      <c r="K2705" s="8"/>
      <c r="T2705" s="8"/>
      <c r="AC2705" s="8"/>
    </row>
    <row r="2706" spans="2:29" ht="15" x14ac:dyDescent="0.2">
      <c r="B2706" s="8"/>
      <c r="K2706" s="8"/>
      <c r="T2706" s="8"/>
      <c r="AC2706" s="8"/>
    </row>
    <row r="2707" spans="2:29" ht="15" x14ac:dyDescent="0.2">
      <c r="B2707" s="8"/>
      <c r="K2707" s="8"/>
      <c r="T2707" s="8"/>
      <c r="AC2707" s="8"/>
    </row>
    <row r="2708" spans="2:29" ht="15" x14ac:dyDescent="0.2">
      <c r="B2708" s="8"/>
      <c r="K2708" s="8"/>
      <c r="T2708" s="8"/>
      <c r="AC2708" s="8"/>
    </row>
    <row r="2709" spans="2:29" ht="15" x14ac:dyDescent="0.2">
      <c r="B2709" s="8"/>
      <c r="K2709" s="8"/>
      <c r="T2709" s="8"/>
      <c r="AC2709" s="8"/>
    </row>
    <row r="2710" spans="2:29" ht="15" x14ac:dyDescent="0.2">
      <c r="B2710" s="8"/>
      <c r="K2710" s="8"/>
      <c r="T2710" s="8"/>
      <c r="AC2710" s="8"/>
    </row>
    <row r="2711" spans="2:29" ht="15" x14ac:dyDescent="0.2">
      <c r="B2711" s="8"/>
      <c r="K2711" s="8"/>
      <c r="T2711" s="8"/>
      <c r="AC2711" s="8"/>
    </row>
    <row r="2712" spans="2:29" ht="15" x14ac:dyDescent="0.2">
      <c r="B2712" s="8"/>
      <c r="K2712" s="8"/>
      <c r="T2712" s="8"/>
      <c r="AC2712" s="8"/>
    </row>
    <row r="2713" spans="2:29" ht="15" x14ac:dyDescent="0.2">
      <c r="B2713" s="8"/>
      <c r="K2713" s="8"/>
      <c r="T2713" s="8"/>
      <c r="AC2713" s="8"/>
    </row>
    <row r="2714" spans="2:29" ht="15" x14ac:dyDescent="0.2">
      <c r="B2714" s="8"/>
      <c r="K2714" s="8"/>
      <c r="T2714" s="8"/>
      <c r="AC2714" s="8"/>
    </row>
    <row r="2715" spans="2:29" ht="15" x14ac:dyDescent="0.2">
      <c r="B2715" s="8"/>
      <c r="K2715" s="8"/>
      <c r="T2715" s="8"/>
      <c r="AC2715" s="8"/>
    </row>
    <row r="2716" spans="2:29" ht="15" x14ac:dyDescent="0.2">
      <c r="B2716" s="8"/>
      <c r="K2716" s="8"/>
      <c r="T2716" s="8"/>
      <c r="AC2716" s="8"/>
    </row>
    <row r="2717" spans="2:29" ht="15" x14ac:dyDescent="0.2">
      <c r="B2717" s="8"/>
      <c r="K2717" s="8"/>
      <c r="T2717" s="8"/>
      <c r="AC2717" s="8"/>
    </row>
    <row r="2718" spans="2:29" ht="15" x14ac:dyDescent="0.2">
      <c r="B2718" s="8"/>
      <c r="K2718" s="8"/>
      <c r="T2718" s="8"/>
      <c r="AC2718" s="8"/>
    </row>
    <row r="2719" spans="2:29" ht="15" x14ac:dyDescent="0.2">
      <c r="B2719" s="8"/>
      <c r="K2719" s="8"/>
      <c r="T2719" s="8"/>
      <c r="AC2719" s="8"/>
    </row>
    <row r="2720" spans="2:29" ht="15" x14ac:dyDescent="0.2">
      <c r="B2720" s="8"/>
      <c r="K2720" s="8"/>
      <c r="T2720" s="8"/>
      <c r="AC2720" s="8"/>
    </row>
    <row r="2721" spans="2:29" ht="15" x14ac:dyDescent="0.2">
      <c r="B2721" s="8"/>
      <c r="K2721" s="8"/>
      <c r="T2721" s="8"/>
      <c r="AC2721" s="8"/>
    </row>
    <row r="2722" spans="2:29" ht="15" x14ac:dyDescent="0.2">
      <c r="B2722" s="8"/>
      <c r="K2722" s="8"/>
      <c r="T2722" s="8"/>
      <c r="AC2722" s="8"/>
    </row>
    <row r="2723" spans="2:29" ht="15" x14ac:dyDescent="0.2">
      <c r="B2723" s="8"/>
      <c r="K2723" s="8"/>
      <c r="T2723" s="8"/>
      <c r="AC2723" s="8"/>
    </row>
    <row r="2724" spans="2:29" ht="15" x14ac:dyDescent="0.2">
      <c r="B2724" s="8"/>
      <c r="K2724" s="8"/>
      <c r="T2724" s="8"/>
      <c r="AC2724" s="8"/>
    </row>
    <row r="2725" spans="2:29" ht="15" x14ac:dyDescent="0.2">
      <c r="B2725" s="8"/>
      <c r="K2725" s="8"/>
      <c r="T2725" s="8"/>
      <c r="AC2725" s="8"/>
    </row>
    <row r="2726" spans="2:29" ht="15" x14ac:dyDescent="0.2">
      <c r="B2726" s="8"/>
      <c r="K2726" s="8"/>
      <c r="T2726" s="8"/>
      <c r="AC2726" s="8"/>
    </row>
    <row r="2727" spans="2:29" ht="15" x14ac:dyDescent="0.2">
      <c r="B2727" s="8"/>
      <c r="K2727" s="8"/>
      <c r="T2727" s="8"/>
      <c r="AC2727" s="8"/>
    </row>
    <row r="2728" spans="2:29" ht="15" x14ac:dyDescent="0.2">
      <c r="B2728" s="8"/>
      <c r="K2728" s="8"/>
      <c r="T2728" s="8"/>
      <c r="AC2728" s="8"/>
    </row>
    <row r="2729" spans="2:29" ht="15" x14ac:dyDescent="0.2">
      <c r="B2729" s="8"/>
      <c r="K2729" s="8"/>
      <c r="T2729" s="8"/>
      <c r="AC2729" s="8"/>
    </row>
    <row r="2730" spans="2:29" ht="15" x14ac:dyDescent="0.2">
      <c r="B2730" s="8"/>
      <c r="K2730" s="8"/>
      <c r="T2730" s="8"/>
      <c r="AC2730" s="8"/>
    </row>
    <row r="2731" spans="2:29" ht="15" x14ac:dyDescent="0.2">
      <c r="B2731" s="8"/>
      <c r="K2731" s="8"/>
      <c r="T2731" s="8"/>
      <c r="AC2731" s="8"/>
    </row>
    <row r="2732" spans="2:29" ht="15" x14ac:dyDescent="0.2">
      <c r="B2732" s="8"/>
      <c r="K2732" s="8"/>
      <c r="T2732" s="8"/>
      <c r="AC2732" s="8"/>
    </row>
    <row r="2733" spans="2:29" ht="15" x14ac:dyDescent="0.2">
      <c r="B2733" s="8"/>
      <c r="K2733" s="8"/>
      <c r="T2733" s="8"/>
      <c r="AC2733" s="8"/>
    </row>
    <row r="2734" spans="2:29" ht="15" x14ac:dyDescent="0.2">
      <c r="B2734" s="8"/>
      <c r="K2734" s="8"/>
      <c r="T2734" s="8"/>
      <c r="AC2734" s="8"/>
    </row>
    <row r="2735" spans="2:29" ht="15" x14ac:dyDescent="0.2">
      <c r="B2735" s="8"/>
      <c r="K2735" s="8"/>
      <c r="T2735" s="8"/>
      <c r="AC2735" s="8"/>
    </row>
    <row r="2736" spans="2:29" ht="15" x14ac:dyDescent="0.2">
      <c r="B2736" s="8"/>
      <c r="K2736" s="8"/>
      <c r="T2736" s="8"/>
      <c r="AC2736" s="8"/>
    </row>
    <row r="2737" spans="2:29" ht="15" x14ac:dyDescent="0.2">
      <c r="B2737" s="8"/>
      <c r="K2737" s="8"/>
      <c r="T2737" s="8"/>
      <c r="AC2737" s="8"/>
    </row>
    <row r="2738" spans="2:29" ht="15" x14ac:dyDescent="0.2">
      <c r="B2738" s="8"/>
      <c r="K2738" s="8"/>
      <c r="T2738" s="8"/>
      <c r="AC2738" s="8"/>
    </row>
    <row r="2739" spans="2:29" ht="15" x14ac:dyDescent="0.2">
      <c r="B2739" s="8"/>
      <c r="K2739" s="8"/>
      <c r="T2739" s="8"/>
      <c r="AC2739" s="8"/>
    </row>
    <row r="2740" spans="2:29" ht="15" x14ac:dyDescent="0.2">
      <c r="B2740" s="8"/>
      <c r="K2740" s="8"/>
      <c r="T2740" s="8"/>
      <c r="AC2740" s="8"/>
    </row>
    <row r="2741" spans="2:29" ht="15" x14ac:dyDescent="0.2">
      <c r="B2741" s="8"/>
      <c r="K2741" s="8"/>
      <c r="T2741" s="8"/>
      <c r="AC2741" s="8"/>
    </row>
    <row r="2742" spans="2:29" ht="15" x14ac:dyDescent="0.2">
      <c r="B2742" s="8"/>
      <c r="K2742" s="8"/>
      <c r="T2742" s="8"/>
      <c r="AC2742" s="8"/>
    </row>
    <row r="2743" spans="2:29" ht="15" x14ac:dyDescent="0.2">
      <c r="B2743" s="8"/>
      <c r="K2743" s="8"/>
      <c r="T2743" s="8"/>
      <c r="AC2743" s="8"/>
    </row>
    <row r="2744" spans="2:29" ht="15" x14ac:dyDescent="0.2">
      <c r="B2744" s="8"/>
      <c r="K2744" s="8"/>
      <c r="T2744" s="8"/>
      <c r="AC2744" s="8"/>
    </row>
    <row r="2745" spans="2:29" ht="15" x14ac:dyDescent="0.2">
      <c r="B2745" s="8"/>
      <c r="K2745" s="8"/>
      <c r="T2745" s="8"/>
      <c r="AC2745" s="8"/>
    </row>
    <row r="2746" spans="2:29" ht="15" x14ac:dyDescent="0.2">
      <c r="B2746" s="8"/>
      <c r="K2746" s="8"/>
      <c r="T2746" s="8"/>
      <c r="AC2746" s="8"/>
    </row>
    <row r="2747" spans="2:29" ht="15" x14ac:dyDescent="0.2">
      <c r="B2747" s="8"/>
      <c r="K2747" s="8"/>
      <c r="T2747" s="8"/>
      <c r="AC2747" s="8"/>
    </row>
    <row r="2748" spans="2:29" ht="15" x14ac:dyDescent="0.2">
      <c r="B2748" s="8"/>
      <c r="K2748" s="8"/>
      <c r="T2748" s="8"/>
      <c r="AC2748" s="8"/>
    </row>
    <row r="2749" spans="2:29" ht="15" x14ac:dyDescent="0.2">
      <c r="B2749" s="8"/>
      <c r="K2749" s="8"/>
      <c r="T2749" s="8"/>
      <c r="AC2749" s="8"/>
    </row>
    <row r="2750" spans="2:29" ht="15" x14ac:dyDescent="0.2">
      <c r="B2750" s="8"/>
      <c r="K2750" s="8"/>
      <c r="T2750" s="8"/>
      <c r="AC2750" s="8"/>
    </row>
    <row r="2751" spans="2:29" ht="15" x14ac:dyDescent="0.2">
      <c r="B2751" s="8"/>
      <c r="K2751" s="8"/>
      <c r="T2751" s="8"/>
      <c r="AC2751" s="8"/>
    </row>
    <row r="2752" spans="2:29" ht="15" x14ac:dyDescent="0.2">
      <c r="B2752" s="8"/>
      <c r="K2752" s="8"/>
      <c r="T2752" s="8"/>
      <c r="AC2752" s="8"/>
    </row>
    <row r="2753" spans="2:29" ht="15" x14ac:dyDescent="0.2">
      <c r="B2753" s="8"/>
      <c r="K2753" s="8"/>
      <c r="T2753" s="8"/>
      <c r="AC2753" s="8"/>
    </row>
    <row r="2754" spans="2:29" ht="15" x14ac:dyDescent="0.2">
      <c r="B2754" s="8"/>
      <c r="K2754" s="8"/>
      <c r="T2754" s="8"/>
      <c r="AC2754" s="8"/>
    </row>
    <row r="2755" spans="2:29" ht="15" x14ac:dyDescent="0.2">
      <c r="B2755" s="8"/>
      <c r="K2755" s="8"/>
      <c r="T2755" s="8"/>
      <c r="AC2755" s="8"/>
    </row>
    <row r="2756" spans="2:29" ht="15" x14ac:dyDescent="0.2">
      <c r="B2756" s="8"/>
      <c r="K2756" s="8"/>
      <c r="T2756" s="8"/>
      <c r="AC2756" s="8"/>
    </row>
    <row r="2757" spans="2:29" ht="15" x14ac:dyDescent="0.2">
      <c r="B2757" s="8"/>
      <c r="K2757" s="8"/>
      <c r="T2757" s="8"/>
      <c r="AC2757" s="8"/>
    </row>
    <row r="2758" spans="2:29" ht="15" x14ac:dyDescent="0.2">
      <c r="B2758" s="8"/>
      <c r="K2758" s="8"/>
      <c r="T2758" s="8"/>
      <c r="AC2758" s="8"/>
    </row>
    <row r="2759" spans="2:29" ht="15" x14ac:dyDescent="0.2">
      <c r="B2759" s="8"/>
      <c r="K2759" s="8"/>
      <c r="T2759" s="8"/>
      <c r="AC2759" s="8"/>
    </row>
    <row r="2760" spans="2:29" ht="15" x14ac:dyDescent="0.2">
      <c r="B2760" s="8"/>
      <c r="K2760" s="8"/>
      <c r="T2760" s="8"/>
      <c r="AC2760" s="8"/>
    </row>
    <row r="2761" spans="2:29" ht="15" x14ac:dyDescent="0.2">
      <c r="B2761" s="8"/>
      <c r="K2761" s="8"/>
      <c r="T2761" s="8"/>
      <c r="AC2761" s="8"/>
    </row>
    <row r="2762" spans="2:29" ht="15" x14ac:dyDescent="0.2">
      <c r="B2762" s="8"/>
      <c r="K2762" s="8"/>
      <c r="T2762" s="8"/>
      <c r="AC2762" s="8"/>
    </row>
    <row r="2763" spans="2:29" ht="15" x14ac:dyDescent="0.2">
      <c r="B2763" s="8"/>
      <c r="K2763" s="8"/>
      <c r="T2763" s="8"/>
      <c r="AC2763" s="8"/>
    </row>
    <row r="2764" spans="2:29" ht="15" x14ac:dyDescent="0.2">
      <c r="B2764" s="8"/>
      <c r="K2764" s="8"/>
      <c r="T2764" s="8"/>
      <c r="AC2764" s="8"/>
    </row>
    <row r="2765" spans="2:29" ht="15" x14ac:dyDescent="0.2">
      <c r="B2765" s="8"/>
      <c r="K2765" s="8"/>
      <c r="T2765" s="8"/>
      <c r="AC2765" s="8"/>
    </row>
    <row r="2766" spans="2:29" ht="15" x14ac:dyDescent="0.2">
      <c r="B2766" s="8"/>
      <c r="K2766" s="8"/>
      <c r="T2766" s="8"/>
      <c r="AC2766" s="8"/>
    </row>
    <row r="2767" spans="2:29" ht="15" x14ac:dyDescent="0.2">
      <c r="B2767" s="8"/>
      <c r="K2767" s="8"/>
      <c r="T2767" s="8"/>
      <c r="AC2767" s="8"/>
    </row>
    <row r="2768" spans="2:29" ht="15" x14ac:dyDescent="0.2">
      <c r="B2768" s="8"/>
      <c r="K2768" s="8"/>
      <c r="T2768" s="8"/>
      <c r="AC2768" s="8"/>
    </row>
    <row r="2769" spans="2:29" ht="15" x14ac:dyDescent="0.2">
      <c r="B2769" s="8"/>
      <c r="K2769" s="8"/>
      <c r="T2769" s="8"/>
      <c r="AC2769" s="8"/>
    </row>
    <row r="2770" spans="2:29" ht="15" x14ac:dyDescent="0.2">
      <c r="B2770" s="8"/>
      <c r="K2770" s="8"/>
      <c r="T2770" s="8"/>
      <c r="AC2770" s="8"/>
    </row>
    <row r="2771" spans="2:29" ht="15" x14ac:dyDescent="0.2">
      <c r="B2771" s="8"/>
      <c r="K2771" s="8"/>
      <c r="T2771" s="8"/>
      <c r="AC2771" s="8"/>
    </row>
    <row r="2772" spans="2:29" ht="15" x14ac:dyDescent="0.2">
      <c r="B2772" s="8"/>
      <c r="K2772" s="8"/>
      <c r="T2772" s="8"/>
      <c r="AC2772" s="8"/>
    </row>
    <row r="2773" spans="2:29" ht="15" x14ac:dyDescent="0.2">
      <c r="B2773" s="8"/>
      <c r="K2773" s="8"/>
      <c r="T2773" s="8"/>
      <c r="AC2773" s="8"/>
    </row>
    <row r="2774" spans="2:29" ht="15" x14ac:dyDescent="0.2">
      <c r="B2774" s="8"/>
      <c r="K2774" s="8"/>
      <c r="T2774" s="8"/>
      <c r="AC2774" s="8"/>
    </row>
    <row r="2775" spans="2:29" ht="15" x14ac:dyDescent="0.2">
      <c r="B2775" s="8"/>
      <c r="K2775" s="8"/>
      <c r="T2775" s="8"/>
      <c r="AC2775" s="8"/>
    </row>
    <row r="2776" spans="2:29" ht="15" x14ac:dyDescent="0.2">
      <c r="B2776" s="8"/>
      <c r="K2776" s="8"/>
      <c r="T2776" s="8"/>
      <c r="AC2776" s="8"/>
    </row>
    <row r="2777" spans="2:29" ht="15" x14ac:dyDescent="0.2">
      <c r="B2777" s="8"/>
      <c r="K2777" s="8"/>
      <c r="T2777" s="8"/>
      <c r="AC2777" s="8"/>
    </row>
    <row r="2778" spans="2:29" ht="15" x14ac:dyDescent="0.2">
      <c r="B2778" s="8"/>
      <c r="K2778" s="8"/>
      <c r="T2778" s="8"/>
      <c r="AC2778" s="8"/>
    </row>
    <row r="2779" spans="2:29" ht="15" x14ac:dyDescent="0.2">
      <c r="B2779" s="8"/>
      <c r="K2779" s="8"/>
      <c r="T2779" s="8"/>
      <c r="AC2779" s="8"/>
    </row>
    <row r="2780" spans="2:29" ht="15" x14ac:dyDescent="0.2">
      <c r="B2780" s="8"/>
      <c r="K2780" s="8"/>
      <c r="T2780" s="8"/>
      <c r="AC2780" s="8"/>
    </row>
    <row r="2781" spans="2:29" ht="15" x14ac:dyDescent="0.2">
      <c r="B2781" s="8"/>
      <c r="K2781" s="8"/>
      <c r="T2781" s="8"/>
      <c r="AC2781" s="8"/>
    </row>
    <row r="2782" spans="2:29" ht="15" x14ac:dyDescent="0.2">
      <c r="B2782" s="8"/>
      <c r="K2782" s="8"/>
      <c r="T2782" s="8"/>
      <c r="AC2782" s="8"/>
    </row>
    <row r="2783" spans="2:29" ht="15" x14ac:dyDescent="0.2">
      <c r="B2783" s="8"/>
      <c r="K2783" s="8"/>
      <c r="T2783" s="8"/>
      <c r="AC2783" s="8"/>
    </row>
    <row r="2784" spans="2:29" ht="15" x14ac:dyDescent="0.2">
      <c r="B2784" s="8"/>
      <c r="K2784" s="8"/>
      <c r="T2784" s="8"/>
      <c r="AC2784" s="8"/>
    </row>
    <row r="2785" spans="2:29" ht="15" x14ac:dyDescent="0.2">
      <c r="B2785" s="8"/>
      <c r="K2785" s="8"/>
      <c r="T2785" s="8"/>
      <c r="AC2785" s="8"/>
    </row>
    <row r="2786" spans="2:29" ht="15" x14ac:dyDescent="0.2">
      <c r="B2786" s="8"/>
      <c r="K2786" s="8"/>
      <c r="T2786" s="8"/>
      <c r="AC2786" s="8"/>
    </row>
    <row r="2787" spans="2:29" ht="15" x14ac:dyDescent="0.2">
      <c r="B2787" s="8"/>
      <c r="K2787" s="8"/>
      <c r="T2787" s="8"/>
      <c r="AC2787" s="8"/>
    </row>
    <row r="2788" spans="2:29" ht="15" x14ac:dyDescent="0.2">
      <c r="B2788" s="8"/>
      <c r="K2788" s="8"/>
      <c r="T2788" s="8"/>
      <c r="AC2788" s="8"/>
    </row>
    <row r="2789" spans="2:29" ht="15" x14ac:dyDescent="0.2">
      <c r="B2789" s="8"/>
      <c r="K2789" s="8"/>
      <c r="T2789" s="8"/>
      <c r="AC2789" s="8"/>
    </row>
    <row r="2790" spans="2:29" ht="15" x14ac:dyDescent="0.2">
      <c r="B2790" s="8"/>
      <c r="K2790" s="8"/>
      <c r="T2790" s="8"/>
      <c r="AC2790" s="8"/>
    </row>
    <row r="2791" spans="2:29" ht="15" x14ac:dyDescent="0.2">
      <c r="B2791" s="8"/>
      <c r="K2791" s="8"/>
      <c r="T2791" s="8"/>
      <c r="AC2791" s="8"/>
    </row>
    <row r="2792" spans="2:29" ht="15" x14ac:dyDescent="0.2">
      <c r="B2792" s="8"/>
      <c r="K2792" s="8"/>
      <c r="T2792" s="8"/>
      <c r="AC2792" s="8"/>
    </row>
    <row r="2793" spans="2:29" ht="15" x14ac:dyDescent="0.2">
      <c r="B2793" s="8"/>
      <c r="K2793" s="8"/>
      <c r="T2793" s="8"/>
      <c r="AC2793" s="8"/>
    </row>
    <row r="2794" spans="2:29" ht="15" x14ac:dyDescent="0.2">
      <c r="B2794" s="8"/>
      <c r="K2794" s="8"/>
      <c r="T2794" s="8"/>
      <c r="AC2794" s="8"/>
    </row>
    <row r="2795" spans="2:29" ht="15" x14ac:dyDescent="0.2">
      <c r="B2795" s="8"/>
      <c r="K2795" s="8"/>
      <c r="T2795" s="8"/>
      <c r="AC2795" s="8"/>
    </row>
    <row r="2796" spans="2:29" ht="15" x14ac:dyDescent="0.2">
      <c r="B2796" s="8"/>
      <c r="K2796" s="8"/>
      <c r="T2796" s="8"/>
      <c r="AC2796" s="8"/>
    </row>
    <row r="2797" spans="2:29" ht="15" x14ac:dyDescent="0.2">
      <c r="B2797" s="8"/>
      <c r="K2797" s="8"/>
      <c r="T2797" s="8"/>
      <c r="AC2797" s="8"/>
    </row>
    <row r="2798" spans="2:29" ht="15" x14ac:dyDescent="0.2">
      <c r="B2798" s="8"/>
      <c r="K2798" s="8"/>
      <c r="T2798" s="8"/>
      <c r="AC2798" s="8"/>
    </row>
    <row r="2799" spans="2:29" ht="15" x14ac:dyDescent="0.2">
      <c r="B2799" s="8"/>
      <c r="K2799" s="8"/>
      <c r="T2799" s="8"/>
      <c r="AC2799" s="8"/>
    </row>
    <row r="2800" spans="2:29" ht="15" x14ac:dyDescent="0.2">
      <c r="B2800" s="8"/>
      <c r="K2800" s="8"/>
      <c r="T2800" s="8"/>
      <c r="AC2800" s="8"/>
    </row>
    <row r="2801" spans="2:29" ht="15" x14ac:dyDescent="0.2">
      <c r="B2801" s="8"/>
      <c r="K2801" s="8"/>
      <c r="T2801" s="8"/>
      <c r="AC2801" s="8"/>
    </row>
    <row r="2802" spans="2:29" ht="15" x14ac:dyDescent="0.2">
      <c r="B2802" s="8"/>
      <c r="K2802" s="8"/>
      <c r="T2802" s="8"/>
      <c r="AC2802" s="8"/>
    </row>
    <row r="2803" spans="2:29" ht="15" x14ac:dyDescent="0.2">
      <c r="B2803" s="8"/>
      <c r="K2803" s="8"/>
      <c r="T2803" s="8"/>
      <c r="AC2803" s="8"/>
    </row>
    <row r="2804" spans="2:29" ht="15" x14ac:dyDescent="0.2">
      <c r="B2804" s="8"/>
      <c r="K2804" s="8"/>
      <c r="T2804" s="8"/>
      <c r="AC2804" s="8"/>
    </row>
    <row r="2805" spans="2:29" ht="15" x14ac:dyDescent="0.2">
      <c r="B2805" s="8"/>
      <c r="K2805" s="8"/>
      <c r="T2805" s="8"/>
      <c r="AC2805" s="8"/>
    </row>
    <row r="2806" spans="2:29" ht="15" x14ac:dyDescent="0.2">
      <c r="B2806" s="8"/>
      <c r="K2806" s="8"/>
      <c r="T2806" s="8"/>
      <c r="AC2806" s="8"/>
    </row>
    <row r="2807" spans="2:29" ht="15" x14ac:dyDescent="0.2">
      <c r="B2807" s="8"/>
      <c r="K2807" s="8"/>
      <c r="T2807" s="8"/>
      <c r="AC2807" s="8"/>
    </row>
    <row r="2808" spans="2:29" ht="15" x14ac:dyDescent="0.2">
      <c r="B2808" s="8"/>
      <c r="K2808" s="8"/>
      <c r="T2808" s="8"/>
      <c r="AC2808" s="8"/>
    </row>
    <row r="2809" spans="2:29" ht="15" x14ac:dyDescent="0.2">
      <c r="B2809" s="8"/>
      <c r="K2809" s="8"/>
      <c r="T2809" s="8"/>
      <c r="AC2809" s="8"/>
    </row>
    <row r="2810" spans="2:29" ht="15" x14ac:dyDescent="0.2">
      <c r="B2810" s="8"/>
      <c r="K2810" s="8"/>
      <c r="T2810" s="8"/>
      <c r="AC2810" s="8"/>
    </row>
    <row r="2811" spans="2:29" ht="15" x14ac:dyDescent="0.2">
      <c r="B2811" s="8"/>
      <c r="K2811" s="8"/>
      <c r="T2811" s="8"/>
      <c r="AC2811" s="8"/>
    </row>
    <row r="2812" spans="2:29" ht="15" x14ac:dyDescent="0.2">
      <c r="B2812" s="8"/>
      <c r="K2812" s="8"/>
      <c r="T2812" s="8"/>
      <c r="AC2812" s="8"/>
    </row>
    <row r="2813" spans="2:29" ht="15" x14ac:dyDescent="0.2">
      <c r="B2813" s="8"/>
      <c r="K2813" s="8"/>
      <c r="T2813" s="8"/>
      <c r="AC2813" s="8"/>
    </row>
    <row r="2814" spans="2:29" ht="15" x14ac:dyDescent="0.2">
      <c r="B2814" s="8"/>
      <c r="K2814" s="8"/>
      <c r="T2814" s="8"/>
      <c r="AC2814" s="8"/>
    </row>
    <row r="2815" spans="2:29" ht="15" x14ac:dyDescent="0.2">
      <c r="B2815" s="8"/>
      <c r="K2815" s="8"/>
      <c r="T2815" s="8"/>
      <c r="AC2815" s="8"/>
    </row>
    <row r="2816" spans="2:29" ht="15" x14ac:dyDescent="0.2">
      <c r="B2816" s="8"/>
      <c r="K2816" s="8"/>
      <c r="T2816" s="8"/>
      <c r="AC2816" s="8"/>
    </row>
    <row r="2817" spans="2:29" ht="15" x14ac:dyDescent="0.2">
      <c r="B2817" s="8"/>
      <c r="K2817" s="8"/>
      <c r="T2817" s="8"/>
      <c r="AC2817" s="8"/>
    </row>
    <row r="2818" spans="2:29" ht="15" x14ac:dyDescent="0.2">
      <c r="B2818" s="8"/>
      <c r="K2818" s="8"/>
      <c r="T2818" s="8"/>
      <c r="AC2818" s="8"/>
    </row>
    <row r="2819" spans="2:29" ht="15" x14ac:dyDescent="0.2">
      <c r="B2819" s="8"/>
      <c r="K2819" s="8"/>
      <c r="T2819" s="8"/>
      <c r="AC2819" s="8"/>
    </row>
    <row r="2820" spans="2:29" ht="15" x14ac:dyDescent="0.2">
      <c r="B2820" s="8"/>
      <c r="K2820" s="8"/>
      <c r="T2820" s="8"/>
      <c r="AC2820" s="8"/>
    </row>
    <row r="2821" spans="2:29" ht="15" x14ac:dyDescent="0.2">
      <c r="B2821" s="8"/>
      <c r="K2821" s="8"/>
      <c r="T2821" s="8"/>
      <c r="AC2821" s="8"/>
    </row>
    <row r="2822" spans="2:29" ht="15" x14ac:dyDescent="0.2">
      <c r="B2822" s="8"/>
      <c r="K2822" s="8"/>
      <c r="T2822" s="8"/>
      <c r="AC2822" s="8"/>
    </row>
    <row r="2823" spans="2:29" ht="15" x14ac:dyDescent="0.2">
      <c r="B2823" s="8"/>
      <c r="K2823" s="8"/>
      <c r="T2823" s="8"/>
      <c r="AC2823" s="8"/>
    </row>
    <row r="2824" spans="2:29" ht="15" x14ac:dyDescent="0.2">
      <c r="B2824" s="8"/>
      <c r="K2824" s="8"/>
      <c r="T2824" s="8"/>
      <c r="AC2824" s="8"/>
    </row>
  </sheetData>
  <dataConsolidate/>
  <mergeCells count="8">
    <mergeCell ref="AB1:AH1"/>
    <mergeCell ref="AB2:AH2"/>
    <mergeCell ref="S1:Y1"/>
    <mergeCell ref="S2:Y2"/>
    <mergeCell ref="A1:H1"/>
    <mergeCell ref="A2:H2"/>
    <mergeCell ref="J1:Q1"/>
    <mergeCell ref="J2:Q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0"/>
  <sheetViews>
    <sheetView workbookViewId="0">
      <selection activeCell="D11" sqref="D11"/>
    </sheetView>
  </sheetViews>
  <sheetFormatPr defaultRowHeight="15" x14ac:dyDescent="0.25"/>
  <cols>
    <col min="1" max="1" width="9.140625" style="8"/>
    <col min="2" max="2" width="1.7109375" customWidth="1"/>
  </cols>
  <sheetData>
    <row r="1" spans="1:7" x14ac:dyDescent="0.25">
      <c r="A1" s="10" t="s">
        <v>15</v>
      </c>
      <c r="C1" s="27" t="s">
        <v>21</v>
      </c>
      <c r="E1" s="22" t="s">
        <v>1</v>
      </c>
      <c r="F1" s="22" t="s">
        <v>15</v>
      </c>
      <c r="G1" s="22" t="s">
        <v>20</v>
      </c>
    </row>
    <row r="2" spans="1:7" x14ac:dyDescent="0.25">
      <c r="A2" s="9" t="s">
        <v>9</v>
      </c>
      <c r="C2" s="9" t="str">
        <f ca="1">TEXT(Dashboard!G2,"ddd")</f>
        <v>Wed</v>
      </c>
      <c r="E2" s="23">
        <v>0.45833333333333331</v>
      </c>
      <c r="F2" s="24" t="s">
        <v>7</v>
      </c>
      <c r="G2" s="24" t="e">
        <f>INDEX(MAPD_ID,MATCH(References!$E2,MAPD_HOOP),MATCH($F2,MAPD_LOB,0))</f>
        <v>#NAME?</v>
      </c>
    </row>
    <row r="3" spans="1:7" x14ac:dyDescent="0.25">
      <c r="A3" s="9" t="s">
        <v>8</v>
      </c>
      <c r="E3" s="18">
        <v>0.47916666666666669</v>
      </c>
      <c r="F3" s="19" t="s">
        <v>7</v>
      </c>
      <c r="G3" s="24" t="e">
        <f>INDEX(MAPD_ID,MATCH(References!$E3,MAPD_HOOP),MATCH($F3,MAPD_LOB,0))</f>
        <v>#NAME?</v>
      </c>
    </row>
    <row r="4" spans="1:7" x14ac:dyDescent="0.25">
      <c r="A4" s="9" t="s">
        <v>10</v>
      </c>
      <c r="E4" s="18">
        <v>0.5</v>
      </c>
      <c r="F4" s="19" t="s">
        <v>7</v>
      </c>
      <c r="G4" s="24" t="e">
        <f>INDEX(MAPD_ID,MATCH(References!$E4,MAPD_HOOP),MATCH($F4,MAPD_LOB,0))</f>
        <v>#NAME?</v>
      </c>
    </row>
    <row r="5" spans="1:7" x14ac:dyDescent="0.25">
      <c r="A5" s="9" t="s">
        <v>7</v>
      </c>
      <c r="E5" s="18">
        <v>0.52083333333333304</v>
      </c>
      <c r="F5" s="19" t="s">
        <v>7</v>
      </c>
      <c r="G5" s="24" t="e">
        <f>INDEX(MAPD_ID,MATCH(References!$E5,MAPD_HOOP),MATCH($F5,MAPD_LOB,0))</f>
        <v>#NAME?</v>
      </c>
    </row>
    <row r="6" spans="1:7" x14ac:dyDescent="0.25">
      <c r="A6" s="9" t="s">
        <v>12</v>
      </c>
      <c r="E6" s="18">
        <v>0.54166666666666696</v>
      </c>
      <c r="F6" s="19" t="s">
        <v>7</v>
      </c>
      <c r="G6" s="24" t="e">
        <f>INDEX(MAPD_ID,MATCH(References!$E6,MAPD_HOOP),MATCH($F6,MAPD_LOB,0))</f>
        <v>#NAME?</v>
      </c>
    </row>
    <row r="7" spans="1:7" x14ac:dyDescent="0.25">
      <c r="A7" s="9" t="s">
        <v>13</v>
      </c>
      <c r="E7" s="18">
        <v>0.5625</v>
      </c>
      <c r="F7" s="19" t="s">
        <v>7</v>
      </c>
      <c r="G7" s="24" t="e">
        <f>INDEX(MAPD_ID,MATCH(References!$E7,MAPD_HOOP),MATCH($F7,MAPD_LOB,0))</f>
        <v>#NAME?</v>
      </c>
    </row>
    <row r="8" spans="1:7" x14ac:dyDescent="0.25">
      <c r="E8" s="18">
        <v>0.58333333333333304</v>
      </c>
      <c r="F8" s="19" t="s">
        <v>7</v>
      </c>
      <c r="G8" s="24" t="e">
        <f>INDEX(MAPD_ID,MATCH(References!$E8,MAPD_HOOP),MATCH($F8,MAPD_LOB,0))</f>
        <v>#NAME?</v>
      </c>
    </row>
    <row r="9" spans="1:7" x14ac:dyDescent="0.25">
      <c r="E9" s="18">
        <v>0.60416666666666696</v>
      </c>
      <c r="F9" s="19" t="s">
        <v>7</v>
      </c>
      <c r="G9" s="24" t="e">
        <f>INDEX(MAPD_ID,MATCH(References!$E9,MAPD_HOOP),MATCH($F9,MAPD_LOB,0))</f>
        <v>#NAME?</v>
      </c>
    </row>
    <row r="10" spans="1:7" x14ac:dyDescent="0.25">
      <c r="E10" s="18">
        <v>0.625</v>
      </c>
      <c r="F10" s="19" t="s">
        <v>7</v>
      </c>
      <c r="G10" s="24" t="e">
        <f>INDEX(MAPD_ID,MATCH(References!$E10,MAPD_HOOP),MATCH($F10,MAPD_LOB,0))</f>
        <v>#NAME?</v>
      </c>
    </row>
    <row r="11" spans="1:7" x14ac:dyDescent="0.25">
      <c r="E11" s="18">
        <v>0.64583333333333304</v>
      </c>
      <c r="F11" s="19" t="s">
        <v>7</v>
      </c>
      <c r="G11" s="24" t="e">
        <f>INDEX(MAPD_ID,MATCH(References!$E11,MAPD_HOOP),MATCH($F11,MAPD_LOB,0))</f>
        <v>#NAME?</v>
      </c>
    </row>
    <row r="12" spans="1:7" x14ac:dyDescent="0.25">
      <c r="E12" s="18">
        <v>0.66666666666666696</v>
      </c>
      <c r="F12" s="19" t="s">
        <v>7</v>
      </c>
      <c r="G12" s="24" t="e">
        <f>INDEX(MAPD_ID,MATCH(References!$E12,MAPD_HOOP),MATCH($F12,MAPD_LOB,0))</f>
        <v>#NAME?</v>
      </c>
    </row>
    <row r="13" spans="1:7" x14ac:dyDescent="0.25">
      <c r="E13" s="18">
        <v>0.6875</v>
      </c>
      <c r="F13" s="19" t="s">
        <v>7</v>
      </c>
      <c r="G13" s="24" t="e">
        <f>INDEX(MAPD_ID,MATCH(References!$E13,MAPD_HOOP),MATCH($F13,MAPD_LOB,0))</f>
        <v>#NAME?</v>
      </c>
    </row>
    <row r="14" spans="1:7" x14ac:dyDescent="0.25">
      <c r="E14" s="18">
        <v>0.70833333333333304</v>
      </c>
      <c r="F14" s="19" t="s">
        <v>7</v>
      </c>
      <c r="G14" s="24" t="e">
        <f>INDEX(MAPD_ID,MATCH(References!$E14,MAPD_HOOP),MATCH($F14,MAPD_LOB,0))</f>
        <v>#NAME?</v>
      </c>
    </row>
    <row r="15" spans="1:7" x14ac:dyDescent="0.25">
      <c r="E15" s="18">
        <v>0.72916666666666696</v>
      </c>
      <c r="F15" s="19" t="s">
        <v>7</v>
      </c>
      <c r="G15" s="24" t="e">
        <f>INDEX(MAPD_ID,MATCH(References!$E15,MAPD_HOOP),MATCH($F15,MAPD_LOB,0))</f>
        <v>#NAME?</v>
      </c>
    </row>
    <row r="16" spans="1:7" x14ac:dyDescent="0.25">
      <c r="E16" s="18">
        <v>0.75</v>
      </c>
      <c r="F16" s="19" t="s">
        <v>7</v>
      </c>
      <c r="G16" s="24" t="e">
        <f>INDEX(MAPD_ID,MATCH(References!$E16,MAPD_HOOP),MATCH($F16,MAPD_LOB,0))</f>
        <v>#NAME?</v>
      </c>
    </row>
    <row r="17" spans="5:7" x14ac:dyDescent="0.25">
      <c r="E17" s="18">
        <v>0.77083333333333404</v>
      </c>
      <c r="F17" s="19" t="s">
        <v>7</v>
      </c>
      <c r="G17" s="24" t="e">
        <f>INDEX(MAPD_ID,MATCH(References!$E17,MAPD_HOOP),MATCH($F17,MAPD_LOB,0))</f>
        <v>#NAME?</v>
      </c>
    </row>
    <row r="18" spans="5:7" x14ac:dyDescent="0.25">
      <c r="E18" s="18">
        <v>0.79166666666666696</v>
      </c>
      <c r="F18" s="19" t="s">
        <v>7</v>
      </c>
      <c r="G18" s="24" t="e">
        <f>INDEX(MAPD_ID,MATCH(References!$E18,MAPD_HOOP),MATCH($F18,MAPD_LOB,0))</f>
        <v>#NAME?</v>
      </c>
    </row>
    <row r="19" spans="5:7" x14ac:dyDescent="0.25">
      <c r="E19" s="18">
        <v>0.8125</v>
      </c>
      <c r="F19" s="19" t="s">
        <v>7</v>
      </c>
      <c r="G19" s="24" t="e">
        <f>INDEX(MAPD_ID,MATCH(References!$E19,MAPD_HOOP),MATCH($F19,MAPD_LOB,0))</f>
        <v>#NAME?</v>
      </c>
    </row>
    <row r="20" spans="5:7" x14ac:dyDescent="0.25">
      <c r="E20" s="18">
        <v>0.33333333333333331</v>
      </c>
      <c r="F20" s="19" t="s">
        <v>9</v>
      </c>
      <c r="G20" s="24" t="e">
        <f>INDEX(MedPro_ID,MATCH(References!$E20,MedPro_HOOP),MATCH($F20,MedPro_LOB,0))</f>
        <v>#NAME?</v>
      </c>
    </row>
    <row r="21" spans="5:7" x14ac:dyDescent="0.25">
      <c r="E21" s="18">
        <v>0.35416666666666669</v>
      </c>
      <c r="F21" s="19" t="s">
        <v>9</v>
      </c>
      <c r="G21" s="24" t="e">
        <f>INDEX(MedPro_ID,MATCH(References!$E21,MedPro_HOOP),MATCH($F21,MedPro_LOB,0))</f>
        <v>#NAME?</v>
      </c>
    </row>
    <row r="22" spans="5:7" x14ac:dyDescent="0.25">
      <c r="E22" s="18">
        <v>0.375</v>
      </c>
      <c r="F22" s="19" t="s">
        <v>9</v>
      </c>
      <c r="G22" s="24" t="e">
        <f>INDEX(MedPro_ID,MATCH(References!$E22,MedPro_HOOP),MATCH($F22,MedPro_LOB,0))</f>
        <v>#NAME?</v>
      </c>
    </row>
    <row r="23" spans="5:7" x14ac:dyDescent="0.25">
      <c r="E23" s="18">
        <v>0.39583333333333298</v>
      </c>
      <c r="F23" s="19" t="s">
        <v>9</v>
      </c>
      <c r="G23" s="24" t="e">
        <f>INDEX(MedPro_ID,MATCH(References!$E23,MedPro_HOOP),MATCH($F23,MedPro_LOB,0))</f>
        <v>#NAME?</v>
      </c>
    </row>
    <row r="24" spans="5:7" x14ac:dyDescent="0.25">
      <c r="E24" s="18">
        <v>0.41666666666666702</v>
      </c>
      <c r="F24" s="19" t="s">
        <v>9</v>
      </c>
      <c r="G24" s="24" t="e">
        <f>INDEX(MedPro_ID,MATCH(References!$E24,MedPro_HOOP),MATCH($F24,MedPro_LOB,0))</f>
        <v>#NAME?</v>
      </c>
    </row>
    <row r="25" spans="5:7" x14ac:dyDescent="0.25">
      <c r="E25" s="18">
        <v>0.4375</v>
      </c>
      <c r="F25" s="19" t="s">
        <v>9</v>
      </c>
      <c r="G25" s="24" t="e">
        <f>INDEX(MedPro_ID,MATCH(References!$E25,MedPro_HOOP),MATCH($F25,MedPro_LOB,0))</f>
        <v>#NAME?</v>
      </c>
    </row>
    <row r="26" spans="5:7" x14ac:dyDescent="0.25">
      <c r="E26" s="18">
        <v>0.45833333333333298</v>
      </c>
      <c r="F26" s="19" t="s">
        <v>9</v>
      </c>
      <c r="G26" s="24" t="e">
        <f>INDEX(MedPro_ID,MATCH(References!$E26,MedPro_HOOP),MATCH($F26,MedPro_LOB,0))</f>
        <v>#NAME?</v>
      </c>
    </row>
    <row r="27" spans="5:7" x14ac:dyDescent="0.25">
      <c r="E27" s="18">
        <v>0.47916666666666702</v>
      </c>
      <c r="F27" s="19" t="s">
        <v>9</v>
      </c>
      <c r="G27" s="24" t="e">
        <f>INDEX(MedPro_ID,MATCH(References!$E27,MedPro_HOOP),MATCH($F27,MedPro_LOB,0))</f>
        <v>#NAME?</v>
      </c>
    </row>
    <row r="28" spans="5:7" x14ac:dyDescent="0.25">
      <c r="E28" s="18">
        <v>0.5</v>
      </c>
      <c r="F28" s="19" t="s">
        <v>9</v>
      </c>
      <c r="G28" s="24" t="e">
        <f>INDEX(MedPro_ID,MATCH(References!$E28,MedPro_HOOP),MATCH($F28,MedPro_LOB,0))</f>
        <v>#NAME?</v>
      </c>
    </row>
    <row r="29" spans="5:7" x14ac:dyDescent="0.25">
      <c r="E29" s="18">
        <v>0.52083333333333304</v>
      </c>
      <c r="F29" s="19" t="s">
        <v>9</v>
      </c>
      <c r="G29" s="24" t="e">
        <f>INDEX(MedPro_ID,MATCH(References!$E29,MedPro_HOOP),MATCH($F29,MedPro_LOB,0))</f>
        <v>#NAME?</v>
      </c>
    </row>
    <row r="30" spans="5:7" x14ac:dyDescent="0.25">
      <c r="E30" s="18">
        <v>0.54166666666666696</v>
      </c>
      <c r="F30" s="19" t="s">
        <v>9</v>
      </c>
      <c r="G30" s="24" t="e">
        <f>INDEX(MedPro_ID,MATCH(References!$E30,MedPro_HOOP),MATCH($F30,MedPro_LOB,0))</f>
        <v>#NAME?</v>
      </c>
    </row>
    <row r="31" spans="5:7" x14ac:dyDescent="0.25">
      <c r="E31" s="18">
        <v>0.5625</v>
      </c>
      <c r="F31" s="19" t="s">
        <v>9</v>
      </c>
      <c r="G31" s="24" t="e">
        <f>INDEX(MedPro_ID,MATCH(References!$E31,MedPro_HOOP),MATCH($F31,MedPro_LOB,0))</f>
        <v>#NAME?</v>
      </c>
    </row>
    <row r="32" spans="5:7" x14ac:dyDescent="0.25">
      <c r="E32" s="18">
        <v>0.58333333333333304</v>
      </c>
      <c r="F32" s="19" t="s">
        <v>9</v>
      </c>
      <c r="G32" s="24" t="e">
        <f>INDEX(MedPro_ID,MATCH(References!$E32,MedPro_HOOP),MATCH($F32,MedPro_LOB,0))</f>
        <v>#NAME?</v>
      </c>
    </row>
    <row r="33" spans="5:7" x14ac:dyDescent="0.25">
      <c r="E33" s="18">
        <v>0.60416666666666696</v>
      </c>
      <c r="F33" s="19" t="s">
        <v>9</v>
      </c>
      <c r="G33" s="24" t="e">
        <f>INDEX(MedPro_ID,MATCH(References!$E33,MedPro_HOOP),MATCH($F33,MedPro_LOB,0))</f>
        <v>#NAME?</v>
      </c>
    </row>
    <row r="34" spans="5:7" x14ac:dyDescent="0.25">
      <c r="E34" s="18">
        <v>0.625</v>
      </c>
      <c r="F34" s="19" t="s">
        <v>9</v>
      </c>
      <c r="G34" s="24" t="e">
        <f>INDEX(MedPro_ID,MATCH(References!$E34,MedPro_HOOP),MATCH($F34,MedPro_LOB,0))</f>
        <v>#NAME?</v>
      </c>
    </row>
    <row r="35" spans="5:7" x14ac:dyDescent="0.25">
      <c r="E35" s="18">
        <v>0.64583333333333404</v>
      </c>
      <c r="F35" s="19" t="s">
        <v>9</v>
      </c>
      <c r="G35" s="24" t="e">
        <f>INDEX(MedPro_ID,MATCH(References!$E35,MedPro_HOOP),MATCH($F35,MedPro_LOB,0))</f>
        <v>#NAME?</v>
      </c>
    </row>
    <row r="36" spans="5:7" x14ac:dyDescent="0.25">
      <c r="E36" s="18">
        <v>0.66666666666666696</v>
      </c>
      <c r="F36" s="19" t="s">
        <v>9</v>
      </c>
      <c r="G36" s="24" t="e">
        <f>INDEX(MedPro_ID,MATCH(References!$E36,MedPro_HOOP),MATCH($F36,MedPro_LOB,0))</f>
        <v>#NAME?</v>
      </c>
    </row>
    <row r="37" spans="5:7" x14ac:dyDescent="0.25">
      <c r="E37" s="18">
        <v>0.6875</v>
      </c>
      <c r="F37" s="19" t="s">
        <v>9</v>
      </c>
      <c r="G37" s="24" t="e">
        <f>INDEX(MedPro_ID,MATCH(References!$E37,MedPro_HOOP),MATCH($F37,MedPro_LOB,0))</f>
        <v>#NAME?</v>
      </c>
    </row>
    <row r="38" spans="5:7" x14ac:dyDescent="0.25">
      <c r="E38" s="18">
        <v>0.70833333333333404</v>
      </c>
      <c r="F38" s="19" t="s">
        <v>9</v>
      </c>
      <c r="G38" s="24" t="e">
        <f>INDEX(MedPro_ID,MATCH(References!$E38,MedPro_HOOP),MATCH($F38,MedPro_LOB,0))</f>
        <v>#NAME?</v>
      </c>
    </row>
    <row r="39" spans="5:7" x14ac:dyDescent="0.25">
      <c r="E39" s="18">
        <v>0.72916666666666696</v>
      </c>
      <c r="F39" s="19" t="s">
        <v>9</v>
      </c>
      <c r="G39" s="24" t="e">
        <f>INDEX(MedPro_ID,MATCH(References!$E39,MedPro_HOOP),MATCH($F39,MedPro_LOB,0))</f>
        <v>#NAME?</v>
      </c>
    </row>
    <row r="40" spans="5:7" x14ac:dyDescent="0.25">
      <c r="E40" s="18">
        <v>0.75</v>
      </c>
      <c r="F40" s="19" t="s">
        <v>9</v>
      </c>
      <c r="G40" s="24" t="e">
        <f>INDEX(MedPro_ID,MATCH(References!$E40,MedPro_HOOP),MATCH($F40,MedPro_LOB,0))</f>
        <v>#NAME?</v>
      </c>
    </row>
    <row r="41" spans="5:7" x14ac:dyDescent="0.25">
      <c r="E41" s="18">
        <v>0.77083333333333404</v>
      </c>
      <c r="F41" s="19" t="s">
        <v>9</v>
      </c>
      <c r="G41" s="24" t="e">
        <f>INDEX(MedPro_ID,MATCH(References!$E41,MedPro_HOOP),MATCH($F41,MedPro_LOB,0))</f>
        <v>#NAME?</v>
      </c>
    </row>
    <row r="42" spans="5:7" x14ac:dyDescent="0.25">
      <c r="E42" s="18">
        <v>0.79166666666666696</v>
      </c>
      <c r="F42" s="19" t="s">
        <v>9</v>
      </c>
      <c r="G42" s="24" t="e">
        <f>INDEX(MedPro_ID,MATCH(References!$E42,MedPro_HOOP),MATCH($F42,MedPro_LOB,0))</f>
        <v>#NAME?</v>
      </c>
    </row>
    <row r="43" spans="5:7" x14ac:dyDescent="0.25">
      <c r="E43" s="18">
        <v>0.812500000000001</v>
      </c>
      <c r="F43" s="19" t="s">
        <v>9</v>
      </c>
      <c r="G43" s="24" t="e">
        <f>INDEX(MedPro_ID,MATCH(References!$E43,MedPro_HOOP),MATCH($F43,MedPro_LOB,0))</f>
        <v>#NAME?</v>
      </c>
    </row>
    <row r="44" spans="5:7" x14ac:dyDescent="0.25">
      <c r="E44" s="18">
        <v>0.33333333333333331</v>
      </c>
      <c r="F44" s="19" t="s">
        <v>8</v>
      </c>
      <c r="G44" s="24" t="e">
        <f>INDEX(PMHS_ID,MATCH(References!$E44,PMHS_HOOP),MATCH($F44,PMHS_LOB,0))</f>
        <v>#NAME?</v>
      </c>
    </row>
    <row r="45" spans="5:7" x14ac:dyDescent="0.25">
      <c r="E45" s="18">
        <v>0.35416666666666669</v>
      </c>
      <c r="F45" s="19" t="s">
        <v>8</v>
      </c>
      <c r="G45" s="24" t="e">
        <f>INDEX(PMHS_ID,MATCH(References!$E45,PMHS_HOOP),MATCH($F45,PMHS_LOB,0))</f>
        <v>#NAME?</v>
      </c>
    </row>
    <row r="46" spans="5:7" x14ac:dyDescent="0.25">
      <c r="E46" s="18">
        <v>0.375</v>
      </c>
      <c r="F46" s="19" t="s">
        <v>8</v>
      </c>
      <c r="G46" s="24" t="e">
        <f>INDEX(PMHS_ID,MATCH(References!$E46,PMHS_HOOP),MATCH($F46,PMHS_LOB,0))</f>
        <v>#NAME?</v>
      </c>
    </row>
    <row r="47" spans="5:7" x14ac:dyDescent="0.25">
      <c r="E47" s="18">
        <v>0.39583333333333298</v>
      </c>
      <c r="F47" s="19" t="s">
        <v>8</v>
      </c>
      <c r="G47" s="24" t="e">
        <f>INDEX(PMHS_ID,MATCH(References!$E47,PMHS_HOOP),MATCH($F47,PMHS_LOB,0))</f>
        <v>#NAME?</v>
      </c>
    </row>
    <row r="48" spans="5:7" x14ac:dyDescent="0.25">
      <c r="E48" s="18">
        <v>0.41666666666666702</v>
      </c>
      <c r="F48" s="19" t="s">
        <v>8</v>
      </c>
      <c r="G48" s="24" t="e">
        <f>INDEX(PMHS_ID,MATCH(References!$E48,PMHS_HOOP),MATCH($F48,PMHS_LOB,0))</f>
        <v>#NAME?</v>
      </c>
    </row>
    <row r="49" spans="5:7" x14ac:dyDescent="0.25">
      <c r="E49" s="18">
        <v>0.4375</v>
      </c>
      <c r="F49" s="19" t="s">
        <v>8</v>
      </c>
      <c r="G49" s="24" t="e">
        <f>INDEX(PMHS_ID,MATCH(References!$E49,PMHS_HOOP),MATCH($F49,PMHS_LOB,0))</f>
        <v>#NAME?</v>
      </c>
    </row>
    <row r="50" spans="5:7" x14ac:dyDescent="0.25">
      <c r="E50" s="18">
        <v>0.45833333333333298</v>
      </c>
      <c r="F50" s="19" t="s">
        <v>8</v>
      </c>
      <c r="G50" s="24" t="e">
        <f>INDEX(PMHS_ID,MATCH(References!$E50,PMHS_HOOP),MATCH($F50,PMHS_LOB,0))</f>
        <v>#NAME?</v>
      </c>
    </row>
    <row r="51" spans="5:7" x14ac:dyDescent="0.25">
      <c r="E51" s="18">
        <v>0.47916666666666702</v>
      </c>
      <c r="F51" s="19" t="s">
        <v>8</v>
      </c>
      <c r="G51" s="24" t="e">
        <f>INDEX(PMHS_ID,MATCH(References!$E51,PMHS_HOOP),MATCH($F51,PMHS_LOB,0))</f>
        <v>#NAME?</v>
      </c>
    </row>
    <row r="52" spans="5:7" x14ac:dyDescent="0.25">
      <c r="E52" s="18">
        <v>0.5</v>
      </c>
      <c r="F52" s="19" t="s">
        <v>8</v>
      </c>
      <c r="G52" s="24" t="e">
        <f>INDEX(PMHS_ID,MATCH(References!$E52,PMHS_HOOP),MATCH($F52,PMHS_LOB,0))</f>
        <v>#NAME?</v>
      </c>
    </row>
    <row r="53" spans="5:7" x14ac:dyDescent="0.25">
      <c r="E53" s="18">
        <v>0.52083333333333304</v>
      </c>
      <c r="F53" s="19" t="s">
        <v>8</v>
      </c>
      <c r="G53" s="24" t="e">
        <f>INDEX(PMHS_ID,MATCH(References!$E53,PMHS_HOOP),MATCH($F53,PMHS_LOB,0))</f>
        <v>#NAME?</v>
      </c>
    </row>
    <row r="54" spans="5:7" x14ac:dyDescent="0.25">
      <c r="E54" s="18">
        <v>0.54166666666666696</v>
      </c>
      <c r="F54" s="19" t="s">
        <v>8</v>
      </c>
      <c r="G54" s="24" t="e">
        <f>INDEX(PMHS_ID,MATCH(References!$E54,PMHS_HOOP),MATCH($F54,PMHS_LOB,0))</f>
        <v>#NAME?</v>
      </c>
    </row>
    <row r="55" spans="5:7" x14ac:dyDescent="0.25">
      <c r="E55" s="18">
        <v>0.5625</v>
      </c>
      <c r="F55" s="19" t="s">
        <v>8</v>
      </c>
      <c r="G55" s="24" t="e">
        <f>INDEX(PMHS_ID,MATCH(References!$E55,PMHS_HOOP),MATCH($F55,PMHS_LOB,0))</f>
        <v>#NAME?</v>
      </c>
    </row>
    <row r="56" spans="5:7" x14ac:dyDescent="0.25">
      <c r="E56" s="18">
        <v>0.58333333333333304</v>
      </c>
      <c r="F56" s="19" t="s">
        <v>8</v>
      </c>
      <c r="G56" s="24" t="e">
        <f>INDEX(PMHS_ID,MATCH(References!$E56,PMHS_HOOP),MATCH($F56,PMHS_LOB,0))</f>
        <v>#NAME?</v>
      </c>
    </row>
    <row r="57" spans="5:7" x14ac:dyDescent="0.25">
      <c r="E57" s="18">
        <v>0.60416666666666696</v>
      </c>
      <c r="F57" s="19" t="s">
        <v>8</v>
      </c>
      <c r="G57" s="24" t="e">
        <f>INDEX(PMHS_ID,MATCH(References!$E57,PMHS_HOOP),MATCH($F57,PMHS_LOB,0))</f>
        <v>#NAME?</v>
      </c>
    </row>
    <row r="58" spans="5:7" x14ac:dyDescent="0.25">
      <c r="E58" s="18">
        <v>0.625</v>
      </c>
      <c r="F58" s="19" t="s">
        <v>8</v>
      </c>
      <c r="G58" s="24" t="e">
        <f>INDEX(PMHS_ID,MATCH(References!$E58,PMHS_HOOP),MATCH($F58,PMHS_LOB,0))</f>
        <v>#NAME?</v>
      </c>
    </row>
    <row r="59" spans="5:7" x14ac:dyDescent="0.25">
      <c r="E59" s="18">
        <v>0.64583333333333404</v>
      </c>
      <c r="F59" s="19" t="s">
        <v>8</v>
      </c>
      <c r="G59" s="24" t="e">
        <f>INDEX(PMHS_ID,MATCH(References!$E59,PMHS_HOOP),MATCH($F59,PMHS_LOB,0))</f>
        <v>#NAME?</v>
      </c>
    </row>
    <row r="60" spans="5:7" x14ac:dyDescent="0.25">
      <c r="E60" s="18">
        <v>0.66666666666666696</v>
      </c>
      <c r="F60" s="19" t="s">
        <v>8</v>
      </c>
      <c r="G60" s="24" t="e">
        <f>INDEX(PMHS_ID,MATCH(References!$E60,PMHS_HOOP),MATCH($F60,PMHS_LOB,0))</f>
        <v>#NAME?</v>
      </c>
    </row>
    <row r="61" spans="5:7" x14ac:dyDescent="0.25">
      <c r="E61" s="18">
        <v>0.6875</v>
      </c>
      <c r="F61" s="19" t="s">
        <v>8</v>
      </c>
      <c r="G61" s="24" t="e">
        <f>INDEX(PMHS_ID,MATCH(References!$E61,PMHS_HOOP),MATCH($F61,PMHS_LOB,0))</f>
        <v>#NAME?</v>
      </c>
    </row>
    <row r="62" spans="5:7" x14ac:dyDescent="0.25">
      <c r="E62" s="18">
        <v>0.70833333333333404</v>
      </c>
      <c r="F62" s="19" t="s">
        <v>8</v>
      </c>
      <c r="G62" s="24" t="e">
        <f>INDEX(PMHS_ID,MATCH(References!$E62,PMHS_HOOP),MATCH($F62,PMHS_LOB,0))</f>
        <v>#NAME?</v>
      </c>
    </row>
    <row r="63" spans="5:7" x14ac:dyDescent="0.25">
      <c r="E63" s="18">
        <v>0.72916666666666696</v>
      </c>
      <c r="F63" s="19" t="s">
        <v>8</v>
      </c>
      <c r="G63" s="24" t="e">
        <f>INDEX(PMHS_ID,MATCH(References!$E63,PMHS_HOOP),MATCH($F63,PMHS_LOB,0))</f>
        <v>#NAME?</v>
      </c>
    </row>
    <row r="64" spans="5:7" x14ac:dyDescent="0.25">
      <c r="E64" s="18">
        <v>0.75</v>
      </c>
      <c r="F64" s="19" t="s">
        <v>8</v>
      </c>
      <c r="G64" s="24" t="e">
        <f>INDEX(PMHS_ID,MATCH(References!$E64,PMHS_HOOP),MATCH($F64,PMHS_LOB,0))</f>
        <v>#NAME?</v>
      </c>
    </row>
    <row r="65" spans="5:7" x14ac:dyDescent="0.25">
      <c r="E65" s="18">
        <v>0.77083333333333404</v>
      </c>
      <c r="F65" s="19" t="s">
        <v>8</v>
      </c>
      <c r="G65" s="24" t="e">
        <f>INDEX(PMHS_ID,MATCH(References!$E65,PMHS_HOOP),MATCH($F65,PMHS_LOB,0))</f>
        <v>#NAME?</v>
      </c>
    </row>
    <row r="66" spans="5:7" x14ac:dyDescent="0.25">
      <c r="E66" s="18">
        <v>0.79166666666666696</v>
      </c>
      <c r="F66" s="19" t="s">
        <v>8</v>
      </c>
      <c r="G66" s="24" t="e">
        <f>INDEX(PMHS_ID,MATCH(References!$E66,PMHS_HOOP),MATCH($F66,PMHS_LOB,0))</f>
        <v>#NAME?</v>
      </c>
    </row>
    <row r="67" spans="5:7" x14ac:dyDescent="0.25">
      <c r="E67" s="18">
        <v>0.812500000000001</v>
      </c>
      <c r="F67" s="19" t="s">
        <v>8</v>
      </c>
      <c r="G67" s="24" t="e">
        <f>INDEX(PMHS_ID,MATCH(References!$E67,PMHS_HOOP),MATCH($F67,PMHS_LOB,0))</f>
        <v>#NAME?</v>
      </c>
    </row>
    <row r="68" spans="5:7" x14ac:dyDescent="0.25">
      <c r="E68" s="18">
        <v>0.29166666666666669</v>
      </c>
      <c r="F68" s="19" t="s">
        <v>10</v>
      </c>
      <c r="G68" s="24" t="e">
        <f>INDEX(PWR_ID,MATCH(References!$E68,PWR_HOOP),MATCH($F68,PWR_LOB,0))</f>
        <v>#NAME?</v>
      </c>
    </row>
    <row r="69" spans="5:7" x14ac:dyDescent="0.25">
      <c r="E69" s="18">
        <v>0.3125</v>
      </c>
      <c r="F69" s="19" t="s">
        <v>10</v>
      </c>
      <c r="G69" s="24" t="e">
        <f>INDEX(PWR_ID,MATCH(References!$E69,PWR_HOOP),MATCH($F69,PWR_LOB,0))</f>
        <v>#NAME?</v>
      </c>
    </row>
    <row r="70" spans="5:7" x14ac:dyDescent="0.25">
      <c r="E70" s="18">
        <v>0.33333333333333298</v>
      </c>
      <c r="F70" s="19" t="s">
        <v>10</v>
      </c>
      <c r="G70" s="24" t="e">
        <f>INDEX(PWR_ID,MATCH(References!$E70,PWR_HOOP),MATCH($F70,PWR_LOB,0))</f>
        <v>#NAME?</v>
      </c>
    </row>
    <row r="71" spans="5:7" x14ac:dyDescent="0.25">
      <c r="E71" s="18">
        <v>0.35416666666666702</v>
      </c>
      <c r="F71" s="19" t="s">
        <v>10</v>
      </c>
      <c r="G71" s="24" t="e">
        <f>INDEX(PWR_ID,MATCH(References!$E71,PWR_HOOP),MATCH($F71,PWR_LOB,0))</f>
        <v>#NAME?</v>
      </c>
    </row>
    <row r="72" spans="5:7" x14ac:dyDescent="0.25">
      <c r="E72" s="18">
        <v>0.375</v>
      </c>
      <c r="F72" s="19" t="s">
        <v>10</v>
      </c>
      <c r="G72" s="24" t="e">
        <f>INDEX(PWR_ID,MATCH(References!$E72,PWR_HOOP),MATCH($F72,PWR_LOB,0))</f>
        <v>#NAME?</v>
      </c>
    </row>
    <row r="73" spans="5:7" x14ac:dyDescent="0.25">
      <c r="E73" s="18">
        <v>0.39583333333333398</v>
      </c>
      <c r="F73" s="19" t="s">
        <v>10</v>
      </c>
      <c r="G73" s="24" t="e">
        <f>INDEX(PWR_ID,MATCH(References!$E73,PWR_HOOP),MATCH($F73,PWR_LOB,0))</f>
        <v>#NAME?</v>
      </c>
    </row>
    <row r="74" spans="5:7" x14ac:dyDescent="0.25">
      <c r="E74" s="18">
        <v>0.41666666666666702</v>
      </c>
      <c r="F74" s="19" t="s">
        <v>10</v>
      </c>
      <c r="G74" s="24" t="e">
        <f>INDEX(PWR_ID,MATCH(References!$E74,PWR_HOOP),MATCH($F74,PWR_LOB,0))</f>
        <v>#NAME?</v>
      </c>
    </row>
    <row r="75" spans="5:7" x14ac:dyDescent="0.25">
      <c r="E75" s="18">
        <v>0.4375</v>
      </c>
      <c r="F75" s="19" t="s">
        <v>10</v>
      </c>
      <c r="G75" s="24" t="e">
        <f>INDEX(PWR_ID,MATCH(References!$E75,PWR_HOOP),MATCH($F75,PWR_LOB,0))</f>
        <v>#NAME?</v>
      </c>
    </row>
    <row r="76" spans="5:7" x14ac:dyDescent="0.25">
      <c r="E76" s="18">
        <v>0.45833333333333398</v>
      </c>
      <c r="F76" s="19" t="s">
        <v>10</v>
      </c>
      <c r="G76" s="24" t="e">
        <f>INDEX(PWR_ID,MATCH(References!$E76,PWR_HOOP),MATCH($F76,PWR_LOB,0))</f>
        <v>#NAME?</v>
      </c>
    </row>
    <row r="77" spans="5:7" x14ac:dyDescent="0.25">
      <c r="E77" s="18">
        <v>0.47916666666666702</v>
      </c>
      <c r="F77" s="19" t="s">
        <v>10</v>
      </c>
      <c r="G77" s="24" t="e">
        <f>INDEX(PWR_ID,MATCH(References!$E77,PWR_HOOP),MATCH($F77,PWR_LOB,0))</f>
        <v>#NAME?</v>
      </c>
    </row>
    <row r="78" spans="5:7" x14ac:dyDescent="0.25">
      <c r="E78" s="18">
        <v>0.5</v>
      </c>
      <c r="F78" s="19" t="s">
        <v>10</v>
      </c>
      <c r="G78" s="24" t="e">
        <f>INDEX(PWR_ID,MATCH(References!$E78,PWR_HOOP),MATCH($F78,PWR_LOB,0))</f>
        <v>#NAME?</v>
      </c>
    </row>
    <row r="79" spans="5:7" x14ac:dyDescent="0.25">
      <c r="E79" s="18">
        <v>0.52083333333333304</v>
      </c>
      <c r="F79" s="19" t="s">
        <v>10</v>
      </c>
      <c r="G79" s="24" t="e">
        <f>INDEX(PWR_ID,MATCH(References!$E79,PWR_HOOP),MATCH($F79,PWR_LOB,0))</f>
        <v>#NAME?</v>
      </c>
    </row>
    <row r="80" spans="5:7" x14ac:dyDescent="0.25">
      <c r="E80" s="18">
        <v>0.54166666666666696</v>
      </c>
      <c r="F80" s="19" t="s">
        <v>10</v>
      </c>
      <c r="G80" s="24" t="e">
        <f>INDEX(PWR_ID,MATCH(References!$E80,PWR_HOOP),MATCH($F80,PWR_LOB,0))</f>
        <v>#NAME?</v>
      </c>
    </row>
    <row r="81" spans="5:7" x14ac:dyDescent="0.25">
      <c r="E81" s="18">
        <v>0.5625</v>
      </c>
      <c r="F81" s="19" t="s">
        <v>10</v>
      </c>
      <c r="G81" s="24" t="e">
        <f>INDEX(PWR_ID,MATCH(References!$E81,PWR_HOOP),MATCH($F81,PWR_LOB,0))</f>
        <v>#NAME?</v>
      </c>
    </row>
    <row r="82" spans="5:7" x14ac:dyDescent="0.25">
      <c r="E82" s="18">
        <v>0.58333333333333304</v>
      </c>
      <c r="F82" s="19" t="s">
        <v>10</v>
      </c>
      <c r="G82" s="24" t="e">
        <f>INDEX(PWR_ID,MATCH(References!$E82,PWR_HOOP),MATCH($F82,PWR_LOB,0))</f>
        <v>#NAME?</v>
      </c>
    </row>
    <row r="83" spans="5:7" x14ac:dyDescent="0.25">
      <c r="E83" s="18">
        <v>0.60416666666666696</v>
      </c>
      <c r="F83" s="19" t="s">
        <v>10</v>
      </c>
      <c r="G83" s="24" t="e">
        <f>INDEX(PWR_ID,MATCH(References!$E83,PWR_HOOP),MATCH($F83,PWR_LOB,0))</f>
        <v>#NAME?</v>
      </c>
    </row>
    <row r="84" spans="5:7" x14ac:dyDescent="0.25">
      <c r="E84" s="18">
        <v>0.625</v>
      </c>
      <c r="F84" s="19" t="s">
        <v>10</v>
      </c>
      <c r="G84" s="24" t="e">
        <f>INDEX(PWR_ID,MATCH(References!$E84,PWR_HOOP),MATCH($F84,PWR_LOB,0))</f>
        <v>#NAME?</v>
      </c>
    </row>
    <row r="85" spans="5:7" x14ac:dyDescent="0.25">
      <c r="E85" s="18">
        <v>0.64583333333333304</v>
      </c>
      <c r="F85" s="19" t="s">
        <v>10</v>
      </c>
      <c r="G85" s="24" t="e">
        <f>INDEX(PWR_ID,MATCH(References!$E85,PWR_HOOP),MATCH($F85,PWR_LOB,0))</f>
        <v>#NAME?</v>
      </c>
    </row>
    <row r="86" spans="5:7" x14ac:dyDescent="0.25">
      <c r="E86" s="18">
        <v>0.66666666666666696</v>
      </c>
      <c r="F86" s="19" t="s">
        <v>10</v>
      </c>
      <c r="G86" s="24" t="e">
        <f>INDEX(PWR_ID,MATCH(References!$E86,PWR_HOOP),MATCH($F86,PWR_LOB,0))</f>
        <v>#NAME?</v>
      </c>
    </row>
    <row r="87" spans="5:7" x14ac:dyDescent="0.25">
      <c r="E87" s="18">
        <v>0.6875</v>
      </c>
      <c r="F87" s="19" t="s">
        <v>10</v>
      </c>
      <c r="G87" s="24" t="e">
        <f>INDEX(PWR_ID,MATCH(References!$E87,PWR_HOOP),MATCH($F87,PWR_LOB,0))</f>
        <v>#NAME?</v>
      </c>
    </row>
    <row r="88" spans="5:7" x14ac:dyDescent="0.25">
      <c r="E88" s="18">
        <v>0.70833333333333304</v>
      </c>
      <c r="F88" s="19" t="s">
        <v>10</v>
      </c>
      <c r="G88" s="24" t="e">
        <f>INDEX(PWR_ID,MATCH(References!$E88,PWR_HOOP),MATCH($F88,PWR_LOB,0))</f>
        <v>#NAME?</v>
      </c>
    </row>
    <row r="89" spans="5:7" x14ac:dyDescent="0.25">
      <c r="E89" s="18">
        <v>0.72916666666666696</v>
      </c>
      <c r="F89" s="19" t="s">
        <v>10</v>
      </c>
      <c r="G89" s="24" t="e">
        <f>INDEX(PWR_ID,MATCH(References!$E89,PWR_HOOP),MATCH($F89,PWR_LOB,0))</f>
        <v>#NAME?</v>
      </c>
    </row>
    <row r="90" spans="5:7" x14ac:dyDescent="0.25">
      <c r="E90" s="18">
        <v>0.75</v>
      </c>
      <c r="F90" s="19" t="s">
        <v>10</v>
      </c>
      <c r="G90" s="24" t="e">
        <f>INDEX(PWR_ID,MATCH(References!$E90,PWR_HOOP),MATCH($F90,PWR_LOB,0))</f>
        <v>#NAME?</v>
      </c>
    </row>
    <row r="91" spans="5:7" x14ac:dyDescent="0.25">
      <c r="E91" s="20">
        <v>0.77083333333333304</v>
      </c>
      <c r="F91" s="25" t="s">
        <v>10</v>
      </c>
      <c r="G91" s="24" t="e">
        <f>INDEX(PWR_ID,MATCH(References!$E91,PWR_HOOP),MATCH($F91,PWR_LOB,0))</f>
        <v>#NAME?</v>
      </c>
    </row>
    <row r="92" spans="5:7" x14ac:dyDescent="0.25">
      <c r="E92" s="21"/>
      <c r="F92" s="21"/>
      <c r="G92" s="21"/>
    </row>
    <row r="93" spans="5:7" x14ac:dyDescent="0.25">
      <c r="E93" s="21"/>
      <c r="F93" s="21"/>
      <c r="G93" s="21"/>
    </row>
    <row r="94" spans="5:7" x14ac:dyDescent="0.25">
      <c r="E94" s="21"/>
      <c r="F94" s="21"/>
      <c r="G94" s="21"/>
    </row>
    <row r="95" spans="5:7" x14ac:dyDescent="0.25">
      <c r="E95" s="21"/>
      <c r="F95" s="21"/>
      <c r="G95" s="21"/>
    </row>
    <row r="96" spans="5:7" x14ac:dyDescent="0.25">
      <c r="E96" s="21"/>
      <c r="F96" s="21"/>
      <c r="G96" s="21"/>
    </row>
    <row r="97" spans="5:7" x14ac:dyDescent="0.25">
      <c r="E97" s="21"/>
      <c r="F97" s="21"/>
      <c r="G97" s="21"/>
    </row>
    <row r="98" spans="5:7" x14ac:dyDescent="0.25">
      <c r="E98" s="21"/>
      <c r="F98" s="21"/>
      <c r="G98" s="21"/>
    </row>
    <row r="99" spans="5:7" x14ac:dyDescent="0.25">
      <c r="E99" s="21"/>
      <c r="F99" s="21"/>
      <c r="G99" s="21"/>
    </row>
    <row r="100" spans="5:7" x14ac:dyDescent="0.25">
      <c r="E100" s="21"/>
      <c r="F100" s="21"/>
      <c r="G100" s="21"/>
    </row>
  </sheetData>
  <conditionalFormatting sqref="E2:G100">
    <cfRule type="expression" dxfId="3" priority="1">
      <formula>$F2="MedPro"</formula>
    </cfRule>
    <cfRule type="expression" dxfId="2" priority="2">
      <formula>$F2="PMHS"</formula>
    </cfRule>
    <cfRule type="expression" dxfId="1" priority="3">
      <formula>$F2="PWR"</formula>
    </cfRule>
    <cfRule type="expression" dxfId="0" priority="4">
      <formula>$F2="MAPD"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Dashboard</vt:lpstr>
      <vt:lpstr>DumpFile</vt:lpstr>
      <vt:lpstr>Distro</vt:lpstr>
      <vt:lpstr>References</vt:lpstr>
      <vt:lpstr>Clr_Open</vt:lpstr>
      <vt:lpstr>Copy_Open_src</vt:lpstr>
      <vt:lpstr>LOB_HOOP</vt:lpstr>
      <vt:lpstr>LOB_ID</vt:lpstr>
      <vt:lpstr>LOB_src</vt:lpstr>
      <vt:lpstr>MAPD_HOOP</vt:lpstr>
      <vt:lpstr>MAPD_ID</vt:lpstr>
      <vt:lpstr>MedPro_HOOP</vt:lpstr>
      <vt:lpstr>MedPro_ID</vt:lpstr>
      <vt:lpstr>Open_MAPD</vt:lpstr>
      <vt:lpstr>Open_MedPro</vt:lpstr>
      <vt:lpstr>Open_PMHS</vt:lpstr>
      <vt:lpstr>Open_PWR</vt:lpstr>
      <vt:lpstr>PMHS_HOOP</vt:lpstr>
      <vt:lpstr>PMHS_ID</vt:lpstr>
      <vt:lpstr>Pst_Open</vt:lpstr>
      <vt:lpstr>PWR_HOOP</vt:lpstr>
      <vt:lpstr>PWR_ID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2021-10-11T04:23:04Z</dcterms:created>
  <dcterms:modified xsi:type="dcterms:W3CDTF">2021-11-03T03:19:44Z</dcterms:modified>
</cp:coreProperties>
</file>